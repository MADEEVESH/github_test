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vice Register" sheetId="2" r:id="rId2"/>
    <sheet name="Test Cases" sheetId="3" r:id="rId3"/>
    <sheet name="Developer Tests" sheetId="4" r:id="rId4"/>
    <sheet name="Timing Runs" sheetId="5" r:id="rId5"/>
    <sheet name="Timing Summary" sheetId="6" r:id="rId6"/>
  </sheets>
  <definedNames>
    <definedName name="PhysicalCaseIDs">'Test Cases'!$A$6:$A$25</definedName>
    <definedName name="_xlnm.Print_Area" localSheetId="3">'Developer Tests'!$A$1:$O$18</definedName>
    <definedName name="_xlnm.Print_Area" localSheetId="0">'Start Here'!$A$1:$H$43</definedName>
    <definedName name="_xlnm.Print_Area" localSheetId="2">'Test Cases'!$A$1:$O$25</definedName>
    <definedName name="_xlnm.Print_Titles" localSheetId="3">'Developer Tests'!$5:$5</definedName>
    <definedName name="_xlnm.Print_Titles" localSheetId="1">'Device Register'!$5:$5</definedName>
    <definedName name="_xlnm.Print_Titles" localSheetId="0">'Start Here'!$5:$5</definedName>
    <definedName name="_xlnm.Print_Titles" localSheetId="2">'Test Cases'!$5:$5</definedName>
    <definedName name="_xlnm.Print_Titles" localSheetId="4">'Timing Runs'!$5:$5</definedName>
    <definedName name="_xlnm.Print_Titles" localSheetId="5">'Timing Summary'!$5:$5</definedName>
  </definedNames>
  <calcPr calcId="124519" fullCalcOnLoad="1"/>
</workbook>
</file>

<file path=xl/sharedStrings.xml><?xml version="1.0" encoding="utf-8"?>
<sst xmlns="http://schemas.openxmlformats.org/spreadsheetml/2006/main" count="885" uniqueCount="546">
  <si>
    <t>Mesh v2 — Test Cases</t>
  </si>
  <si>
    <t>Expected results are acceptance criteria, not evidence of a pass. Yellow cells are for your results. All cases start Not Run. Record separate runs for subcases/device configurations.</t>
  </si>
  <si>
    <t>Test ID</t>
  </si>
  <si>
    <t>Priority</t>
  </si>
  <si>
    <t>Area</t>
  </si>
  <si>
    <t>Test case</t>
  </si>
  <si>
    <t>Preconditions</t>
  </si>
  <si>
    <t>Steps</t>
  </si>
  <si>
    <t>Expected result</t>
  </si>
  <si>
    <t>Actual result</t>
  </si>
  <si>
    <t>Status</t>
  </si>
  <si>
    <t>Tester</t>
  </si>
  <si>
    <t>Test date</t>
  </si>
  <si>
    <t>Device IDs</t>
  </si>
  <si>
    <t>Run / message IDs</t>
  </si>
  <si>
    <t>Evidence / diagnostics</t>
  </si>
  <si>
    <t>Notes / caveats</t>
  </si>
  <si>
    <t>T01</t>
  </si>
  <si>
    <t>P0</t>
  </si>
  <si>
    <t>Identity</t>
  </si>
  <si>
    <t>Identity survives reopen and reboot</t>
  </si>
  <si>
    <t>Fresh test installation; record the initial fingerprint.</t>
  </si>
  <si>
    <t>1. Create identity A and record its fingerprint.
2. Close and reopen the app.
3. Restart the phone, unlock it and reopen the app. Start mesh again through the visible control.</t>
  </si>
  <si>
    <t>The same identity/fingerprint remains. Any pre-existing history/queue remains. No silent replacement identity.</t>
  </si>
  <si>
    <t>Not Run</t>
  </si>
  <si>
    <t>Reinstall/clear-data is different from reopen/reboot: it creates a new identity. Do not clear data in this test.</t>
  </si>
  <si>
    <t>T02</t>
  </si>
  <si>
    <t>Contacts</t>
  </si>
  <si>
    <t>QR contact verification and invalid import</t>
  </si>
  <si>
    <t>A and C have distinct identities. Camera is available or use signed QR text.</t>
  </si>
  <si>
    <t>1. Import each other's QR on A and C; compare the full fingerprint in person.
2. Try completing import without explicitly confirming verification.
3. Try malformed/altered QR text and the phone's own QR.</t>
  </si>
  <si>
    <t>Only valid, explicitly verified other-device contacts are saved. Invalid/self/unconfirmed imports are rejected clearly.</t>
  </si>
  <si>
    <t>B does not need A/C as contacts to relay their ciphertext.</t>
  </si>
  <si>
    <t>T03</t>
  </si>
  <si>
    <t>Direct BLE</t>
  </si>
  <si>
    <t>Direct messaging with Internet unavailable</t>
  </si>
  <si>
    <t>A/C verified; B stopped. Wi-Fi, mobile data, hotspot and tethering off; Bluetooth on.</t>
  </si>
  <si>
    <t>1. Place A and C nearby and start mesh on both.
2. Confirm a real authenticated peer connection.
3. Send a unique message in each direction and record arrival and receipt times.</t>
  </si>
  <si>
    <t>Exact text arrives once. Signed receipts return. No Internet path is required.</t>
  </si>
  <si>
    <t>Use the downloaded release APK. A service notification alone is not proof of a working radio link.</t>
  </si>
  <si>
    <t>T04</t>
  </si>
  <si>
    <t>Multi-hop</t>
  </si>
  <si>
    <t>A to B to C with no direct A/C path</t>
  </si>
  <si>
    <t>A/C remain beyond usable direct range; B can communicate with each separately.</t>
  </si>
  <si>
    <t>1. With B stopped, test fresh A-to-C messages and inspect peer/diagnostic state.
2. Start B between A and C. Verify authenticated A/B and B/C links, with no A/C link.
3. Send a fresh uniquely numbered message and observe C plus receipt return to A.
4. Stop B and repeat the negative control. Repeat in the reverse direction.</t>
  </si>
  <si>
    <t>C receives exactly once through B; A receives C's receipt. Fresh messages cannot use the isolated route with B stopped.</t>
  </si>
  <si>
    <t>Two minutes without delivery alone does not prove radio isolation. Use physical separation, repeated controls and diagnostics; discard accidental direct-link runs.</t>
  </si>
  <si>
    <t>T05</t>
  </si>
  <si>
    <t>Receipts</t>
  </si>
  <si>
    <t>Relay custody must not mean Delivered</t>
  </si>
  <si>
    <t>A/B can connect; C is unreachable. B relaying enabled.</t>
  </si>
  <si>
    <t>1. Send a fresh A-to-C message.
2. Wait for confirmed custody on B and record queue/diagnostic evidence.
3. Keep C unreachable while inspecting A's status.</t>
  </si>
  <si>
    <t>A may show Relayed but never Delivered solely from B's custody or fragment ACKs.</t>
  </si>
  <si>
    <t>Fast valid transfers may skip a visibly rendered Pending/Relayed state. The requirement is no false Delivered, not observing every transient UI state.</t>
  </si>
  <si>
    <t>T06</t>
  </si>
  <si>
    <t>Store-forward</t>
  </si>
  <si>
    <t>Courier delivery during a later encounter</t>
  </si>
  <si>
    <t>A/C out of direct range for the entire test; message remains within TTL.</t>
  </si>
  <si>
    <t>1. Place A/B together with C absent; send and confirm B's custody.
2. Turn A's Bluetooth off and take B to C.
3. Start/retain B/C mesh and observe the unique message on C.</t>
  </si>
  <si>
    <t>C receives the queued message once while A is unreachable. B cannot read the message body.</t>
  </si>
  <si>
    <t>The moving relay supplies an encounter path; this does not prove continuous 2 km radio coverage.</t>
  </si>
  <si>
    <t>T07</t>
  </si>
  <si>
    <t>Receipt returns after sender absence</t>
  </si>
  <si>
    <t>Complete T06. A must still be unreachable when C receives.</t>
  </si>
  <si>
    <t>1. Keep A unreachable and confirm it has not yet obtained a delivery receipt.
2. Let B obtain C's signed receipt, then move B away from C.
3. Return B to A; re-enable/start A's mesh and record the Delivered transition.</t>
  </si>
  <si>
    <t>A becomes Delivered only after C's authenticated receipt reaches A. C still has only one copy.</t>
  </si>
  <si>
    <t>Recipient arrival and sender receipt-confirmed delivery are separate timing events.</t>
  </si>
  <si>
    <t>T08</t>
  </si>
  <si>
    <t>Persistence</t>
  </si>
  <si>
    <t>Restart relay after confirmed custody</t>
  </si>
  <si>
    <t>B has durably accepted a unique A-to-C message; C remains absent.</t>
  </si>
  <si>
    <t>1. Record B's identity and nonzero queue after confirmed custody.
2. Stop mesh and restart B's process without clearing app data.
3. Reopen B, start mesh, take it to C and then return it to A for the receipt.</t>
  </si>
  <si>
    <t>Identity and queued envelope survive. C receives once; the receipt can later return.</t>
  </si>
  <si>
    <t>Repeat process termination separately from graceful stop. Do not claim operation while force-stopped.</t>
  </si>
  <si>
    <t>T09</t>
  </si>
  <si>
    <t>Screen off</t>
  </si>
  <si>
    <t>Locked relay with existing connections</t>
  </si>
  <si>
    <t>Isolated A/C; working authenticated A/B and B/C links. Record default battery settings.</t>
  </si>
  <si>
    <t>1. Establish a screen-on baseline, then lock B and leave A/C awake.
2. After 5, 15, 30 and 60 minutes idle, send a fresh uniquely numbered A-to-C message.
3. Keep B locked; record C arrival, A receipt, service state and interruptions.</t>
  </si>
  <si>
    <t>B forwards and receipts return without unlocking B. Record failures/delays honestly for each interval/device.</t>
  </si>
  <si>
    <t>Run each interval as a separately recorded timing run. A notification alone is not evidence that relaying continued.</t>
  </si>
  <si>
    <t>T10</t>
  </si>
  <si>
    <t>New encounters while relay is already locked</t>
  </si>
  <si>
    <t>B mesh started with no nearby peers; A/C stay isolated. Record battery settings.</t>
  </si>
  <si>
    <t>1. Lock B before A or C is nearby.
2. After 5, 15, 30 and 60 minutes idle, bring A into B's range and send a message for C.
3. Keep B locked; make A unreachable and later bring B/C into range.
4. Observe discovery, message arrival and later receipt return without unlocking B.</t>
  </si>
  <si>
    <t>New peers can be discovered/authenticated and the message forwarded while B stays locked.</t>
  </si>
  <si>
    <t>This tests background discovery, not merely survival of existing connections. Use separate runs per idle interval.</t>
  </si>
  <si>
    <t>T11</t>
  </si>
  <si>
    <t>P1</t>
  </si>
  <si>
    <t>Receiver locked during delivery</t>
  </si>
  <si>
    <t>A/C verified and a known valid route exists.</t>
  </si>
  <si>
    <t>1. Lock C, then send a fresh message.
2. Observe generic notification and receipt return where permitted.
3. Unlock C and inspect history; repeat with A locked during receipt return.</t>
  </si>
  <si>
    <t>C stores the message once and emits its receipt. Notification contains no plaintext. A shows the authenticated result after reopening.</t>
  </si>
  <si>
    <t>Notification denial on Android 13+ is a separate test and must not be mistaken for message loss.</t>
  </si>
  <si>
    <t>T12</t>
  </si>
  <si>
    <t>Recovery</t>
  </si>
  <si>
    <t>Bluetooth interruption during transfer</t>
  </si>
  <si>
    <t>Known route; choose a message near the 1024-byte limit to exercise fragmentation.</t>
  </si>
  <si>
    <t>1. Begin a transfer and interrupt B's Bluetooth while it is in progress.
2. Record the failure/pending state; restore Bluetooth and encounter peers again.
3. Repeat and confirm recovery using diagnostics.</t>
  </si>
  <si>
    <t>No truncated plaintext, false Delivered or duplicated bubble. Durable envelopes reconcile after reconnection.</t>
  </si>
  <si>
    <t>If transfer completed before interruption, that run does not prove interrupted-transfer recovery.</t>
  </si>
  <si>
    <t>T13</t>
  </si>
  <si>
    <t>Relay policy</t>
  </si>
  <si>
    <t>Relay participation disabled</t>
  </si>
  <si>
    <t>A/C isolated; B is the only possible relay.</t>
  </si>
  <si>
    <t>1. Disable relaying on B.
2. Send a new A-to-C message and verify no third-party forwarding.
3. Re-enable relaying and observe recovery while the message is valid.</t>
  </si>
  <si>
    <t>B obeys relay opt-out and preserves previously accepted queue data. Re-enabling permits eligible forwarding.</t>
  </si>
  <si>
    <t>Do not use an already delivered message as the negative control.</t>
  </si>
  <si>
    <t>T14</t>
  </si>
  <si>
    <t>TTL</t>
  </si>
  <si>
    <t>Expired delayed message must not arrive</t>
  </si>
  <si>
    <t>C unreachable. Set A's TTL to 1 minute before creating the test message.</t>
  </si>
  <si>
    <t>1. Send to C and confirm the intended test state/custody.
2. Keep C unreachable for more than 2 minutes.
3. Then encounter B/C and observe sender cleanup and receiver history.</t>
  </si>
  <si>
    <t>C does not newly receive expired text. A becomes Expired during cleanup, with no false Delivered.</t>
  </si>
  <si>
    <t>Settings affect newly created envelopes. Restore 24-hour TTL for later baseline cases.</t>
  </si>
  <si>
    <t>T15</t>
  </si>
  <si>
    <t>Hop budget</t>
  </si>
  <si>
    <t>Hop limit and later-message progress</t>
  </si>
  <si>
    <t>A/C isolated; B is the only intermediate relay.</t>
  </si>
  <si>
    <t>1. Set A's hop limit to 1 and send to C through B.
2. Keep that rejected/limited message queued, raise the limit to 2 and send a fresh uniquely numbered message.
3. Separately verify that a direct A/C message works with limit 1.</t>
  </si>
  <si>
    <t>The two-link route cannot exceed a signed one-hop budget. A valid later two-hop message makes progress instead of being indefinitely blocked.</t>
  </si>
  <si>
    <t>Changing settings must not rewrite an existing envelope's signed budget. Restore default 8 afterward.</t>
  </si>
  <si>
    <t>T16</t>
  </si>
  <si>
    <t>Text limits</t>
  </si>
  <si>
    <t>Unicode and 1024-byte plaintext boundary</t>
  </si>
  <si>
    <t>Verified sender/recipient and known route.</t>
  </si>
  <si>
    <t>1. Send ordinary text, emoji and mixed Unicode.
2. Send exactly 1024 UTF-8 bytes.
3. Attempt more than 1024 UTF-8 bytes.</t>
  </si>
  <si>
    <t>Valid content arrives unchanged. Oversized input is rejected clearly, without truncation or a falsely queued/delivered entry.</t>
  </si>
  <si>
    <t>1024 ASCII characters are 1024 bytes. Emoji/multibyte characters can use more than one byte each.</t>
  </si>
  <si>
    <t>T17</t>
  </si>
  <si>
    <t>Deduplication</t>
  </si>
  <si>
    <t>Repeated encounters do not duplicate a message</t>
  </si>
  <si>
    <t>One uniquely identified message has already been accepted/delivered.</t>
  </si>
  <si>
    <t>1. Reconnect the same peers repeatedly without pressing Send again.
2. Restart/encounter relay and recipient again within the original lifetime.
3. Inspect recipient history, forwarding counts and receipts.</t>
  </si>
  <si>
    <t>The same original message appears once. Repeated custody/receipt traffic does not fabricate additional deliveries.</t>
  </si>
  <si>
    <t>Pressing Send twice creates two different messages even when the text is identical; that is not this replay test.</t>
  </si>
  <si>
    <t>T18</t>
  </si>
  <si>
    <t>Lifecycle</t>
  </si>
  <si>
    <t>Stop control, force-stop and reboot</t>
  </si>
  <si>
    <t>A known valid queued message exists; use a separate run for each action.</t>
  </si>
  <si>
    <t>1. Test Stop mesh in the app and the notification action.
2. Separately force-stop B, then separately reboot B.
3. Reopen, inspect identity/queue and explicitly start mesh to resume valid forwarding.</t>
  </si>
  <si>
    <t>Relaying stops as appropriate. Retained identity/history/queue survive normal restart. No unsupported automatic restart or continuous force-stopped operation is claimed.</t>
  </si>
  <si>
    <t>Do not clear app data or reinstall during persistence checks.</t>
  </si>
  <si>
    <t>T19</t>
  </si>
  <si>
    <t>Permissions</t>
  </si>
  <si>
    <t>Denied/revoked permissions and unsupported device</t>
  </si>
  <si>
    <t>Test on relevant Android versions; log each subcase separately.</t>
  </si>
  <si>
    <t>1. Deny/revoke Nearby devices on Android 12+.
2. On Android 10/11 test fine-location denial and Location services off.
3. Deny camera and try verified QR-text import; test notification denial on Android 13+.
4. If available, try a device without BLE advertising support; then restore permissions/settings.</t>
  </si>
  <si>
    <t>Useful accurate errors; no crash, invented peer or false running state. Camera denial has a QR-text fallback. Unsupported hardware is reported accurately.</t>
  </si>
  <si>
    <t>Mark an unavailable hardware/OS subcase Blocked or Not Applicable with the reason; do not infer it passed.</t>
  </si>
  <si>
    <t>T20</t>
  </si>
  <si>
    <t>Battery / OS</t>
  </si>
  <si>
    <t>Battery saver and background restriction matrix</t>
  </si>
  <si>
    <t>First establish T09/T10 baselines under recorded default battery settings.</t>
  </si>
  <si>
    <t>1. Repeat existing-link and new-encounter screen-off tests under battery saver.
2. Repeat with the app background-restricted; optionally compare Unrestricted mode.
3. Record model/OEM, Android build, idle duration, service state, failures and recovery.</t>
  </si>
  <si>
    <t>Actual behavior is documented for each configuration. Interruptions are recorded, with accurate UI state and retained messages after restarting.</t>
  </si>
  <si>
    <t>There is no blanket promise of continuous background delivery. A notification is not proof of radio activity.</t>
  </si>
  <si>
    <t>Mesh v2 — Developer Tests</t>
  </si>
  <si>
    <t>D01</t>
  </si>
  <si>
    <t>AndroidKeyStore</t>
  </si>
  <si>
    <t>Persisted keys and encrypted history reload</t>
  </si>
  <si>
    <t>Android device/emulator supporting AndroidKeyStore; isolated test preferences.</t>
  </si>
  <si>
    <t>1. Run encryptedKeysPersistAndHistorySurvivesReloadAndRename.</t>
  </si>
  <si>
    <t>Identity/private signing capability and encrypted history survive reload; renamed identity persists; persisted keysets are encrypted.</t>
  </si>
  <si>
    <t>Part of AndroidIdentityVaultInstrumentedTest. Compilation passed; device execution has not run.</t>
  </si>
  <si>
    <t>D02</t>
  </si>
  <si>
    <t>Tampered ciphertext or swapped key purpose</t>
  </si>
  <si>
    <t>Isolated device-test vault; preserve unrelated application data.</t>
  </si>
  <si>
    <t>1. Run changedCiphertextOrSwappedPurposeFailsWithoutCreatingNewIdentity.</t>
  </si>
  <si>
    <t>Changed ciphertext/purpose swapping is rejected; unaffected slots remain intact; no replacement identity is generated.</t>
  </si>
  <si>
    <t>Do not weaken production key protection to inspect data.</t>
  </si>
  <si>
    <t>D03</t>
  </si>
  <si>
    <t>Partial or unsupported vault fails closed</t>
  </si>
  <si>
    <t>Isolated device-test vault.</t>
  </si>
  <si>
    <t>1. Run partialOrUnsupportedVaultFailsClosed.</t>
  </si>
  <si>
    <t>Missing slots/unsupported vault versions fail closed without repairing the state by creating new private keys.</t>
  </si>
  <si>
    <t>D04</t>
  </si>
  <si>
    <t>Entire missing vault does not silently regenerate</t>
  </si>
  <si>
    <t>Isolated device-test preferences; explicit creation is permitted only for onboarding.</t>
  </si>
  <si>
    <t>1. Run completelyMissingVaultDoesNotReplaceIdentityOnNormalLoad.</t>
  </si>
  <si>
    <t>Normal loading of empty/deleted vault fails without writing replacement keys; explicit initial creation remains possible.</t>
  </si>
  <si>
    <t>D05</t>
  </si>
  <si>
    <t>Protocol security</t>
  </si>
  <si>
    <t>Tampered packet, identity or signed route</t>
  </si>
  <si>
    <t>Dedicated crafted-packet harness/test build; keep production validation enabled.</t>
  </si>
  <si>
    <t>1. Inject changed ciphertext/signature, wrong-recipient data and malformed identities.
2. Try broken/stripped route edges, hop reset, repeated peers and unsupported versions.</t>
  </si>
  <si>
    <t>Invalid traffic is rejected with bounded work/logging; no readable message, custody success or forged Delivered state.</t>
  </si>
  <si>
    <t>Existing unit coverage is not proof of equivalent behavior through physical GATT.</t>
  </si>
  <si>
    <t>D06</t>
  </si>
  <si>
    <t>Forged or mismatched delivery receipt</t>
  </si>
  <si>
    <t>A has an outgoing message for C; B has no C private signing key.</t>
  </si>
  <si>
    <t>1. Try a receipt signed by B, a wrong message ID/digest, wrong recipient and an invalid delivery time.</t>
  </si>
  <si>
    <t>Only a valid receipt authenticated as original recipient C and bound to the original message can mark A Delivered.</t>
  </si>
  <si>
    <t>D07</t>
  </si>
  <si>
    <t>Replay / sessions</t>
  </si>
  <si>
    <t>Replay and conflicting-ID traffic over BLE</t>
  </si>
  <si>
    <t>Harness can retain exact signed frames/controls; use fresh authenticated sessions.</t>
  </si>
  <si>
    <t>1. Replay a control within its session and into a fresh session.
2. Replay an accepted envelope after reconnect/restart; reuse its ID with different immutable content.</t>
  </si>
  <si>
    <t>Session replay/reordering and conflicting IDs are rejected. An authentic duplicate creates no second history entry.</t>
  </si>
  <si>
    <t>D08</t>
  </si>
  <si>
    <t>Storage privacy</t>
  </si>
  <si>
    <t>Inspect local relay/history confidentiality</t>
  </si>
  <si>
    <t>Dedicated test device/build with authorized inspection access; unique test text.</t>
  </si>
  <si>
    <t>1. Inspect B's database/journal and diagnostics after relay custody.
2. Inspect endpoint history/keyset persistence and backup/transfer exclusions.</t>
  </si>
  <si>
    <t>No message plaintext/private key is persisted in relay data/logs. New history is locally encrypted; private keysets are wrapped, with backup excluded.</t>
  </si>
  <si>
    <t>A missing chat bubble alone is insufficient proof of ciphertext-only storage. Legacy v0.2 data is not automatically encrypted/migrated.</t>
  </si>
  <si>
    <t>D09</t>
  </si>
  <si>
    <t>Capacity</t>
  </si>
  <si>
    <t>Byte/count quotas and atomic receipt admission</t>
  </si>
  <si>
    <t>Controlled load tool; known quota and queue state; avoid filling personal device storage.</t>
  </si>
  <si>
    <t>1. Reach the configured byte quota and separately the 4096-envelope count limit.
2. Leave one slot, then test recipient admission that needs both message and receipt.
3. Allow legitimate expiry/cleanup and retry.</t>
  </si>
  <si>
    <t>Admission never exceeds either bound. Failed admission sends no custody success; message/history/receipt are atomic. Existing accepted data is not silently discarded.</t>
  </si>
  <si>
    <t>Default 25 MiB; settings allow 1–100 MiB. Raising bytes does not raise the 4096-envelope count limit.</t>
  </si>
  <si>
    <t>D10</t>
  </si>
  <si>
    <t>Framing</t>
  </si>
  <si>
    <t>Loss/reorder/duplication, MTU and interrupted journals</t>
  </si>
  <si>
    <t>Controlled BLE fault injection plus durable journal inspection.</t>
  </si>
  <si>
    <t>1. Exercise MTU 23 and larger negotiated payloads; lose/reorder/duplicate/corrupt frames and ACKs.
2. Interrupt the process at fragment/ACK boundaries and then reconnect.
3. Check per-peer targeting and full-envelope reconciliation after interruption.</t>
  </si>
  <si>
    <t>Bounded retry/backoff or visible failure; no mixed/truncated payload, false custody or false Delivered. Valid envelopes recover through durable storage/reconciliation.</t>
  </si>
  <si>
    <t>Distinguish full-envelope retry from fine-grained fragment resumption; record what actually happens.</t>
  </si>
  <si>
    <t>D11</t>
  </si>
  <si>
    <t>Concurrency</t>
  </si>
  <si>
    <t>Three simultaneous peers and excess-peer handling</t>
  </si>
  <si>
    <t>Four physical phones required: B plus three peers. Optional fifth for excess-link attempt.</t>
  </si>
  <si>
    <t>1. Connect three peers to B, with traffic in both GATT roles.
2. Observe ordering, subscriptions, address-targeted notifications and reconnect behavior.
3. Attempt an additional peer if equipment is available.</t>
  </si>
  <si>
    <t>Up to three links behave correctly; additional links are bounded/deferred cleanly. No cross-peer data mixing.</t>
  </si>
  <si>
    <t>Three phones total exercise only two peers on B, not its three-peer capacity.</t>
  </si>
  <si>
    <t>D12</t>
  </si>
  <si>
    <t>Clock / expiry</t>
  </si>
  <si>
    <t>Clock skew, TTL validation and replay retention</t>
  </si>
  <si>
    <t>Controlled clocks/harness; restore normal clocks afterward.</t>
  </si>
  <si>
    <t>1. Exercise permitted small skew and future/expired envelopes outside policy.
2. Restart around expiry/cleanup and attempt replay while retained tombstones apply.</t>
  </si>
  <si>
    <t>Policy-valid traffic works; invalid lifetimes are refused. Cleanup/replay handling remains consistent across restart.</t>
  </si>
  <si>
    <t>The implementation assumes reasonably synchronized offline clocks; there is no network time service.</t>
  </si>
  <si>
    <t>D13</t>
  </si>
  <si>
    <t>Receipt lifetime</t>
  </si>
  <si>
    <t>Short recipient default must not expire return receipt early</t>
  </si>
  <si>
    <t>A original TTL 24 hours; C default TTL 1 minute; A unreachable during recipient delivery.</t>
  </si>
  <si>
    <t>1. Deliver A's message to C through B.
2. Wait more than one minute before taking B back to A, while original message remains valid.
3. Observe receipt return and sender status.</t>
  </si>
  <si>
    <t>The authenticated return receipt still reaches A and marks Delivered within the original permitted lifetime.</t>
  </si>
  <si>
    <t>Device register</t>
  </si>
  <si>
    <t>Use arbitrary labels such as A/B/C/D. Record observed configuration; do not enter private keys or personal device identifiers. D is optional unless running the three-peer concurrency test.</t>
  </si>
  <si>
    <t>Device ID</t>
  </si>
  <si>
    <t>Planned role</t>
  </si>
  <si>
    <t>Model / manufacturer</t>
  </si>
  <si>
    <t>Android version</t>
  </si>
  <si>
    <t>API level</t>
  </si>
  <si>
    <t>Security patch</t>
  </si>
  <si>
    <t>OS / firmware build</t>
  </si>
  <si>
    <t>Installed app version</t>
  </si>
  <si>
    <t>BLE advertising</t>
  </si>
  <si>
    <t>BLE concurrent roles</t>
  </si>
  <si>
    <t>Bluetooth permission</t>
  </si>
  <si>
    <t>Location services</t>
  </si>
  <si>
    <t>Notification permission</t>
  </si>
  <si>
    <t>Battery / background mode</t>
  </si>
  <si>
    <t>Battery % / charging</t>
  </si>
  <si>
    <t>Notes</t>
  </si>
  <si>
    <t>A</t>
  </si>
  <si>
    <t>Sender</t>
  </si>
  <si>
    <t>Unknown</t>
  </si>
  <si>
    <t>B</t>
  </si>
  <si>
    <t>Relay</t>
  </si>
  <si>
    <t>C</t>
  </si>
  <si>
    <t>Receiver</t>
  </si>
  <si>
    <t>D</t>
  </si>
  <si>
    <t>Additional peer (optional)</t>
  </si>
  <si>
    <t>Delivery timing — observed runs</t>
  </si>
  <si>
    <t>200 blank run templates. Enter full date + time, using synchronized clocks. Record actual arrival on C separately from Delivered on A; chat bubble timestamps are creation times. Blue cells calculate minutes. Failed/expired runs must remain in the log.</t>
  </si>
  <si>
    <t>Run ID</t>
  </si>
  <si>
    <t>Test Case ID</t>
  </si>
  <si>
    <t>Route / scenario</t>
  </si>
  <si>
    <t>Distance km</t>
  </si>
  <si>
    <t>Actual hop count</t>
  </si>
  <si>
    <t>Sender device</t>
  </si>
  <si>
    <t>Relay devices</t>
  </si>
  <si>
    <t>Receiver device</t>
  </si>
  <si>
    <t>Send time</t>
  </si>
  <si>
    <t>Receiver arrival time</t>
  </si>
  <si>
    <t>Sender Delivered time</t>
  </si>
  <si>
    <t>Arrival delay min</t>
  </si>
  <si>
    <t>Receipt delay min</t>
  </si>
  <si>
    <t>Outcome</t>
  </si>
  <si>
    <t>Record check</t>
  </si>
  <si>
    <t>Idle before send min</t>
  </si>
  <si>
    <t>Screen state</t>
  </si>
  <si>
    <t>Battery mode</t>
  </si>
  <si>
    <t>Message TTL min</t>
  </si>
  <si>
    <t>Configured hop limit</t>
  </si>
  <si>
    <t>Message ID / test text</t>
  </si>
  <si>
    <t>Notes / evidence</t>
  </si>
  <si>
    <t>RUN-001</t>
  </si>
  <si>
    <t>RUN-002</t>
  </si>
  <si>
    <t>RUN-003</t>
  </si>
  <si>
    <t>RUN-004</t>
  </si>
  <si>
    <t>RUN-005</t>
  </si>
  <si>
    <t>RUN-006</t>
  </si>
  <si>
    <t>RUN-007</t>
  </si>
  <si>
    <t>RUN-008</t>
  </si>
  <si>
    <t>RUN-009</t>
  </si>
  <si>
    <t>RUN-010</t>
  </si>
  <si>
    <t>RUN-011</t>
  </si>
  <si>
    <t>RUN-012</t>
  </si>
  <si>
    <t>RUN-013</t>
  </si>
  <si>
    <t>RUN-014</t>
  </si>
  <si>
    <t>RUN-015</t>
  </si>
  <si>
    <t>RUN-016</t>
  </si>
  <si>
    <t>RUN-017</t>
  </si>
  <si>
    <t>RUN-018</t>
  </si>
  <si>
    <t>RUN-019</t>
  </si>
  <si>
    <t>RUN-020</t>
  </si>
  <si>
    <t>RUN-021</t>
  </si>
  <si>
    <t>RUN-022</t>
  </si>
  <si>
    <t>RUN-023</t>
  </si>
  <si>
    <t>RUN-024</t>
  </si>
  <si>
    <t>RUN-025</t>
  </si>
  <si>
    <t>RUN-026</t>
  </si>
  <si>
    <t>RUN-027</t>
  </si>
  <si>
    <t>RUN-028</t>
  </si>
  <si>
    <t>RUN-029</t>
  </si>
  <si>
    <t>RUN-030</t>
  </si>
  <si>
    <t>RUN-031</t>
  </si>
  <si>
    <t>RUN-032</t>
  </si>
  <si>
    <t>RUN-033</t>
  </si>
  <si>
    <t>RUN-034</t>
  </si>
  <si>
    <t>RUN-035</t>
  </si>
  <si>
    <t>RUN-036</t>
  </si>
  <si>
    <t>RUN-037</t>
  </si>
  <si>
    <t>RUN-038</t>
  </si>
  <si>
    <t>RUN-039</t>
  </si>
  <si>
    <t>RUN-040</t>
  </si>
  <si>
    <t>RUN-041</t>
  </si>
  <si>
    <t>RUN-042</t>
  </si>
  <si>
    <t>RUN-043</t>
  </si>
  <si>
    <t>RUN-044</t>
  </si>
  <si>
    <t>RUN-045</t>
  </si>
  <si>
    <t>RUN-046</t>
  </si>
  <si>
    <t>RUN-047</t>
  </si>
  <si>
    <t>RUN-048</t>
  </si>
  <si>
    <t>RUN-049</t>
  </si>
  <si>
    <t>RUN-050</t>
  </si>
  <si>
    <t>RUN-051</t>
  </si>
  <si>
    <t>RUN-052</t>
  </si>
  <si>
    <t>RUN-053</t>
  </si>
  <si>
    <t>RUN-054</t>
  </si>
  <si>
    <t>RUN-055</t>
  </si>
  <si>
    <t>RUN-056</t>
  </si>
  <si>
    <t>RUN-057</t>
  </si>
  <si>
    <t>RUN-058</t>
  </si>
  <si>
    <t>RUN-059</t>
  </si>
  <si>
    <t>RUN-060</t>
  </si>
  <si>
    <t>RUN-061</t>
  </si>
  <si>
    <t>RUN-062</t>
  </si>
  <si>
    <t>RUN-063</t>
  </si>
  <si>
    <t>RUN-064</t>
  </si>
  <si>
    <t>RUN-065</t>
  </si>
  <si>
    <t>RUN-066</t>
  </si>
  <si>
    <t>RUN-067</t>
  </si>
  <si>
    <t>RUN-068</t>
  </si>
  <si>
    <t>RUN-069</t>
  </si>
  <si>
    <t>RUN-070</t>
  </si>
  <si>
    <t>RUN-071</t>
  </si>
  <si>
    <t>RUN-072</t>
  </si>
  <si>
    <t>RUN-073</t>
  </si>
  <si>
    <t>RUN-074</t>
  </si>
  <si>
    <t>RUN-075</t>
  </si>
  <si>
    <t>RUN-076</t>
  </si>
  <si>
    <t>RUN-077</t>
  </si>
  <si>
    <t>RUN-078</t>
  </si>
  <si>
    <t>RUN-079</t>
  </si>
  <si>
    <t>RUN-080</t>
  </si>
  <si>
    <t>RUN-081</t>
  </si>
  <si>
    <t>RUN-082</t>
  </si>
  <si>
    <t>RUN-083</t>
  </si>
  <si>
    <t>RUN-084</t>
  </si>
  <si>
    <t>RUN-085</t>
  </si>
  <si>
    <t>RUN-086</t>
  </si>
  <si>
    <t>RUN-087</t>
  </si>
  <si>
    <t>RUN-088</t>
  </si>
  <si>
    <t>RUN-089</t>
  </si>
  <si>
    <t>RUN-090</t>
  </si>
  <si>
    <t>RUN-091</t>
  </si>
  <si>
    <t>RUN-092</t>
  </si>
  <si>
    <t>RUN-093</t>
  </si>
  <si>
    <t>RUN-094</t>
  </si>
  <si>
    <t>RUN-095</t>
  </si>
  <si>
    <t>RUN-096</t>
  </si>
  <si>
    <t>RUN-097</t>
  </si>
  <si>
    <t>RUN-098</t>
  </si>
  <si>
    <t>RUN-099</t>
  </si>
  <si>
    <t>RUN-100</t>
  </si>
  <si>
    <t>RUN-101</t>
  </si>
  <si>
    <t>RUN-102</t>
  </si>
  <si>
    <t>RUN-103</t>
  </si>
  <si>
    <t>RUN-104</t>
  </si>
  <si>
    <t>RUN-105</t>
  </si>
  <si>
    <t>RUN-106</t>
  </si>
  <si>
    <t>RUN-107</t>
  </si>
  <si>
    <t>RUN-108</t>
  </si>
  <si>
    <t>RUN-109</t>
  </si>
  <si>
    <t>RUN-110</t>
  </si>
  <si>
    <t>RUN-111</t>
  </si>
  <si>
    <t>RUN-112</t>
  </si>
  <si>
    <t>RUN-113</t>
  </si>
  <si>
    <t>RUN-114</t>
  </si>
  <si>
    <t>RUN-115</t>
  </si>
  <si>
    <t>RUN-116</t>
  </si>
  <si>
    <t>RUN-117</t>
  </si>
  <si>
    <t>RUN-118</t>
  </si>
  <si>
    <t>RUN-119</t>
  </si>
  <si>
    <t>RUN-120</t>
  </si>
  <si>
    <t>RUN-121</t>
  </si>
  <si>
    <t>RUN-122</t>
  </si>
  <si>
    <t>RUN-123</t>
  </si>
  <si>
    <t>RUN-124</t>
  </si>
  <si>
    <t>RUN-125</t>
  </si>
  <si>
    <t>RUN-126</t>
  </si>
  <si>
    <t>RUN-127</t>
  </si>
  <si>
    <t>RUN-128</t>
  </si>
  <si>
    <t>RUN-129</t>
  </si>
  <si>
    <t>RUN-130</t>
  </si>
  <si>
    <t>RUN-131</t>
  </si>
  <si>
    <t>RUN-132</t>
  </si>
  <si>
    <t>RUN-133</t>
  </si>
  <si>
    <t>RUN-134</t>
  </si>
  <si>
    <t>RUN-135</t>
  </si>
  <si>
    <t>RUN-136</t>
  </si>
  <si>
    <t>RUN-137</t>
  </si>
  <si>
    <t>RUN-138</t>
  </si>
  <si>
    <t>RUN-139</t>
  </si>
  <si>
    <t>RUN-140</t>
  </si>
  <si>
    <t>RUN-141</t>
  </si>
  <si>
    <t>RUN-142</t>
  </si>
  <si>
    <t>RUN-143</t>
  </si>
  <si>
    <t>RUN-144</t>
  </si>
  <si>
    <t>RUN-145</t>
  </si>
  <si>
    <t>RUN-146</t>
  </si>
  <si>
    <t>RUN-147</t>
  </si>
  <si>
    <t>RUN-148</t>
  </si>
  <si>
    <t>RUN-149</t>
  </si>
  <si>
    <t>RUN-150</t>
  </si>
  <si>
    <t>RUN-151</t>
  </si>
  <si>
    <t>RUN-152</t>
  </si>
  <si>
    <t>RUN-153</t>
  </si>
  <si>
    <t>RUN-154</t>
  </si>
  <si>
    <t>RUN-155</t>
  </si>
  <si>
    <t>RUN-156</t>
  </si>
  <si>
    <t>RUN-157</t>
  </si>
  <si>
    <t>RUN-158</t>
  </si>
  <si>
    <t>RUN-159</t>
  </si>
  <si>
    <t>RUN-160</t>
  </si>
  <si>
    <t>RUN-161</t>
  </si>
  <si>
    <t>RUN-162</t>
  </si>
  <si>
    <t>RUN-163</t>
  </si>
  <si>
    <t>RUN-164</t>
  </si>
  <si>
    <t>RUN-165</t>
  </si>
  <si>
    <t>RUN-166</t>
  </si>
  <si>
    <t>RUN-167</t>
  </si>
  <si>
    <t>RUN-168</t>
  </si>
  <si>
    <t>RUN-169</t>
  </si>
  <si>
    <t>RUN-170</t>
  </si>
  <si>
    <t>RUN-171</t>
  </si>
  <si>
    <t>RUN-172</t>
  </si>
  <si>
    <t>RUN-173</t>
  </si>
  <si>
    <t>RUN-174</t>
  </si>
  <si>
    <t>RUN-175</t>
  </si>
  <si>
    <t>RUN-176</t>
  </si>
  <si>
    <t>RUN-177</t>
  </si>
  <si>
    <t>RUN-178</t>
  </si>
  <si>
    <t>RUN-179</t>
  </si>
  <si>
    <t>RUN-180</t>
  </si>
  <si>
    <t>RUN-181</t>
  </si>
  <si>
    <t>RUN-182</t>
  </si>
  <si>
    <t>RUN-183</t>
  </si>
  <si>
    <t>RUN-184</t>
  </si>
  <si>
    <t>RUN-185</t>
  </si>
  <si>
    <t>RUN-186</t>
  </si>
  <si>
    <t>RUN-187</t>
  </si>
  <si>
    <t>RUN-188</t>
  </si>
  <si>
    <t>RUN-189</t>
  </si>
  <si>
    <t>RUN-190</t>
  </si>
  <si>
    <t>RUN-191</t>
  </si>
  <si>
    <t>RUN-192</t>
  </si>
  <si>
    <t>RUN-193</t>
  </si>
  <si>
    <t>RUN-194</t>
  </si>
  <si>
    <t>RUN-195</t>
  </si>
  <si>
    <t>RUN-196</t>
  </si>
  <si>
    <t>RUN-197</t>
  </si>
  <si>
    <t>RUN-198</t>
  </si>
  <si>
    <t>RUN-199</t>
  </si>
  <si>
    <t>RUN-200</t>
  </si>
  <si>
    <t>Timing summary — successful observed runs</t>
  </si>
  <si>
    <t>Counts and min/median/max update from Timing Runs. Failed/expired attempts stay in the arrival ratio; this is not the acceptance-test pass rate. Negative tests intentionally may not deliver. Blank metrics mean no valid observations. Fix Record check warnings. Times are minutes, without a guaranteed maximum.</t>
  </si>
  <si>
    <t>Case</t>
  </si>
  <si>
    <t>Completed attempts</t>
  </si>
  <si>
    <t>Arrived at receiver</t>
  </si>
  <si>
    <t>Failed</t>
  </si>
  <si>
    <t>Expired</t>
  </si>
  <si>
    <t>Blocked</t>
  </si>
  <si>
    <t>Arrival success %</t>
  </si>
  <si>
    <t>Min arrival min</t>
  </si>
  <si>
    <t>Median arrival min</t>
  </si>
  <si>
    <t>Max arrival min</t>
  </si>
  <si>
    <t>Min receipt min</t>
  </si>
  <si>
    <t>Median receipt min</t>
  </si>
  <si>
    <t>Max receipt min</t>
  </si>
  <si>
    <t>OfflineChat Mesh v2 — test workbook</t>
  </si>
  <si>
    <t>Physical-device acceptance, developer checks, device configurations and delivery timing. All unexecuted cases start Not Run. Expected results describe the target behavior; they are not a claim that the APK passed these device tests.</t>
  </si>
  <si>
    <t>1  Prepare the test phones</t>
  </si>
  <si>
    <t>Use three Android 10+ phones: A sender, B relay, C receiver. A fourth phone is needed for the three-peer concurrency case.</t>
  </si>
  <si>
    <t>Install the same Mesh 2.0.0 release APK. Turn Wi-Fi/mobile data/hotspot/tethering off; turn Bluetooth on.</t>
  </si>
  <si>
    <t>A and C exchange signed QR identities, compare the full fingerprints and explicitly verify each other. B needs no A/C contact to relay.</t>
  </si>
  <si>
    <t>Start mesh using the visible control. Keep relaying enabled. Android 10/11 need the applicable location permission/services; Android 12+ uses Nearby devices.</t>
  </si>
  <si>
    <t>Record actual phone/OEM/Android/battery settings in Device Register. Keep clocks close. Use unique test messages and preserve bounded diagnostics.</t>
  </si>
  <si>
    <t>Defaults: 8 hops, 24-hour / 1440-minute TTL, 1024 UTF-8 plaintext bytes, 25 MiB queue plus a 4096-envelope count limit.</t>
  </si>
  <si>
    <t>2  Execute and record evidence</t>
  </si>
  <si>
    <t>P0 = core acceptance/security; P1 = extended recovery/platform checks. Complete P0 first. Mark Passed, Failed, Blocked or Not Applicable only after recording actual observations/evidence. Leave unexecuted cases Not Run.</t>
  </si>
  <si>
    <t>Existing authenticated connections and new encounters while already locked are different screen-off tests. Test fresh messages after 5, 15, 30 and 60 minutes idle. A notification is not proof of relaying.</t>
  </si>
  <si>
    <t>Confirm A/C isolation with physical separation and repeated relay-off controls. A short period without delivery or one absent Nearby entry does not establish isolation.</t>
  </si>
  <si>
    <t>Measure Send → actual arrival on C separately from Send → Delivered on A. Chat timestamps are message creation times. A relay custody ACK must never count as recipient delivery.</t>
  </si>
  <si>
    <t>Timing Runs provides 200 blank templates. Enter full dates/times in yellow cells. Blue cells calculate minutes. Fix Record check warnings; do not omit failed/expired attempts.</t>
  </si>
  <si>
    <t>Repeat direct and relay timing cases at least 10 times. For 2 km, first establish enough usable relay links within the hop budget. Report arrival ratio and successful-run min/median/max, with failures separately.</t>
  </si>
  <si>
    <t>3  Progress — automatic counts</t>
  </si>
  <si>
    <t>Suite</t>
  </si>
  <si>
    <t>Total</t>
  </si>
  <si>
    <t>Passed</t>
  </si>
  <si>
    <t>Not Applicable</t>
  </si>
  <si>
    <t>Pass %</t>
  </si>
  <si>
    <t>Test Cases</t>
  </si>
  <si>
    <t>Developer Tests</t>
  </si>
  <si>
    <t>Timing record warnings</t>
  </si>
  <si>
    <t>4  Saved automated baseline and limits</t>
  </si>
  <si>
    <t>Saved implementation baseline: 50 Flutter tests and 85 native tests passed; analyzer, debug/release builds and APK checks passed. These are not physical BLE or KeyStore device results. Four vault instrumented tests compiled but have not run on a device/emulator.</t>
  </si>
  <si>
    <t>This is an experimental custom protocol without independent security audit. Physical BLE, screen-off/new-encounter behavior, camera/background/OEM behavior and 2 km routing remain unverified. Windows v0.2 is a separate legacy direct-chat app and cannot join Android Mesh v2.</t>
  </si>
  <si>
    <t>APK / source baseline</t>
  </si>
  <si>
    <t>2.0.0 (code 3); implementation commit 1d527447400e97633cb6a1b0726e3bc576989d4b</t>
  </si>
  <si>
    <t>Workbook generated</t>
  </si>
  <si>
    <t>2026-10-22 15:28 +04 — blank results template</t>
  </si>
  <si>
    <t>5  Open a worksheet or reference</t>
  </si>
  <si>
    <t>Device Register</t>
  </si>
  <si>
    <t>Timing Runs</t>
  </si>
  <si>
    <t>Timing Summary</t>
  </si>
  <si>
    <t>Download Android release APK</t>
  </si>
  <si>
    <t>Full device test plan on GitHub</t>
  </si>
  <si>
    <t>Executed automated checks</t>
  </si>
  <si>
    <t>Limitations and unverified behavior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</si>
</sst>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yyyy-mm-dd hh:mm:ss"/>
    <numFmt numFmtId="167" formatCode="0.000"/>
  </numFmts>
  <fonts count="8">
    <font>
      <sz val="11"/>
      <color theme="1"/>
      <name val="Calibri"/>
      <family val="2"/>
      <scheme val="minor"/>
    </font>
    <font>
      <sz val="10"/>
      <color rgb="FF172033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4243B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2463E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4243B"/>
        <bgColor indexed="64"/>
      </patternFill>
    </fill>
    <fill>
      <patternFill patternType="solid">
        <fgColor rgb="FF2463EB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1" fontId="6" fillId="4" borderId="0" xfId="0" applyNumberFormat="1" applyFont="1" applyFill="1" applyAlignment="1">
      <alignment vertical="top"/>
    </xf>
    <xf numFmtId="164" fontId="6" fillId="4" borderId="0" xfId="0" applyNumberFormat="1" applyFont="1" applyFill="1" applyAlignment="1">
      <alignment vertical="top"/>
    </xf>
    <xf numFmtId="0" fontId="7" fillId="0" borderId="0" xfId="0" applyFont="1" applyAlignment="1">
      <alignment wrapText="1"/>
    </xf>
    <xf numFmtId="0" fontId="1" fillId="5" borderId="0" xfId="0" applyFont="1" applyFill="1" applyAlignment="1">
      <alignment vertical="top" wrapText="1"/>
    </xf>
    <xf numFmtId="165" fontId="6" fillId="5" borderId="0" xfId="0" applyNumberFormat="1" applyFont="1" applyFill="1" applyAlignment="1">
      <alignment vertical="top"/>
    </xf>
    <xf numFmtId="166" fontId="6" fillId="5" borderId="0" xfId="0" applyNumberFormat="1" applyFont="1" applyFill="1" applyAlignment="1">
      <alignment vertical="top"/>
    </xf>
    <xf numFmtId="167" fontId="6" fillId="4" borderId="0" xfId="0" applyNumberFormat="1" applyFont="1" applyFill="1" applyAlignment="1">
      <alignment vertical="top"/>
    </xf>
  </cellXfs>
  <cellStyles count="1">
    <cellStyle name="Normal" xfId="0" builtinId="0"/>
  </cellStyles>
  <dxfs count="4"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475569"/>
      </font>
      <fill>
        <patternFill>
          <bgColor rgb="FFE2E8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vices" displayName="Devices" ref="A5:P9" totalsRowShown="0">
  <autoFilter ref="A5:P9"/>
  <tableColumns count="16">
    <tableColumn id="1" name="Device ID"/>
    <tableColumn id="2" name="Planned role"/>
    <tableColumn id="3" name="Model / manufacturer"/>
    <tableColumn id="4" name="Android version"/>
    <tableColumn id="5" name="API level"/>
    <tableColumn id="6" name="Security patch"/>
    <tableColumn id="7" name="OS / firmware build"/>
    <tableColumn id="8" name="Installed app version"/>
    <tableColumn id="9" name="BLE advertising"/>
    <tableColumn id="10" name="BLE concurrent roles"/>
    <tableColumn id="11" name="Bluetooth permission"/>
    <tableColumn id="12" name="Location services"/>
    <tableColumn id="13" name="Notification permission"/>
    <tableColumn id="14" name="Battery / background mode"/>
    <tableColumn id="15" name="Battery % / charging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ysicalCases" displayName="PhysicalCases" ref="A5:O25" totalsRowShown="0">
  <autoFilter ref="A5:O25"/>
  <tableColumns count="15">
    <tableColumn id="1" name="Test ID"/>
    <tableColumn id="2" name="Priority"/>
    <tableColumn id="3" name="Area"/>
    <tableColumn id="4" name="Test case"/>
    <tableColumn id="5" name="Preconditions"/>
    <tableColumn id="6" name="Steps"/>
    <tableColumn id="7" name="Expected result"/>
    <tableColumn id="8" name="Actual result"/>
    <tableColumn id="9" name="Status"/>
    <tableColumn id="10" name="Tester"/>
    <tableColumn id="11" name="Test date"/>
    <tableColumn id="12" name="Device IDs"/>
    <tableColumn id="13" name="Run / message IDs"/>
    <tableColumn id="14" name="Evidence / diagnostics"/>
    <tableColumn id="15" name="Notes / cavea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veloperCases" displayName="DeveloperCases" ref="A5:O18" totalsRowShown="0">
  <autoFilter ref="A5:O18"/>
  <tableColumns count="15">
    <tableColumn id="1" name="Test ID"/>
    <tableColumn id="2" name="Priority"/>
    <tableColumn id="3" name="Area"/>
    <tableColumn id="4" name="Test case"/>
    <tableColumn id="5" name="Preconditions"/>
    <tableColumn id="6" name="Steps"/>
    <tableColumn id="7" name="Expected result"/>
    <tableColumn id="8" name="Actual result"/>
    <tableColumn id="9" name="Status"/>
    <tableColumn id="10" name="Tester"/>
    <tableColumn id="11" name="Test date"/>
    <tableColumn id="12" name="Device IDs"/>
    <tableColumn id="13" name="Run / message IDs"/>
    <tableColumn id="14" name="Evidence / diagnostics"/>
    <tableColumn id="15" name="Notes / cavea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mingRuns" displayName="TimingRuns" ref="A5:V205" totalsRowShown="0">
  <autoFilter ref="A5:V205"/>
  <tableColumns count="22">
    <tableColumn id="1" name="Run ID"/>
    <tableColumn id="2" name="Test Case ID"/>
    <tableColumn id="3" name="Route / scenario"/>
    <tableColumn id="4" name="Distance km"/>
    <tableColumn id="5" name="Actual hop count"/>
    <tableColumn id="6" name="Sender device"/>
    <tableColumn id="7" name="Relay devices"/>
    <tableColumn id="8" name="Receiver device"/>
    <tableColumn id="9" name="Send time"/>
    <tableColumn id="10" name="Receiver arrival time"/>
    <tableColumn id="11" name="Sender Delivered time"/>
    <tableColumn id="12" name="Arrival delay min"/>
    <tableColumn id="13" name="Receipt delay min"/>
    <tableColumn id="14" name="Outcome"/>
    <tableColumn id="15" name="Record check"/>
    <tableColumn id="16" name="Idle before send min"/>
    <tableColumn id="17" name="Screen state"/>
    <tableColumn id="18" name="Battery mode"/>
    <tableColumn id="19" name="Message TTL min"/>
    <tableColumn id="20" name="Configured hop limit"/>
    <tableColumn id="21" name="Message ID / test text"/>
    <tableColumn id="22" name="Notes / ev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imingSummary" displayName="TimingSummary" ref="A5:N25" totalsRowShown="0">
  <autoFilter ref="A5:N25"/>
  <tableColumns count="14">
    <tableColumn id="1" name="Test Case ID"/>
    <tableColumn id="2" name="Case"/>
    <tableColumn id="3" name="Completed attempts"/>
    <tableColumn id="4" name="Arrived at receiver"/>
    <tableColumn id="5" name="Failed"/>
    <tableColumn id="6" name="Expired"/>
    <tableColumn id="7" name="Blocked"/>
    <tableColumn id="8" name="Arrival success %"/>
    <tableColumn id="9" name="Min arrival min"/>
    <tableColumn id="10" name="Median arrival min"/>
    <tableColumn id="11" name="Max arrival min"/>
    <tableColumn id="12" name="Min receipt min"/>
    <tableColumn id="13" name="Median receipt min"/>
    <tableColumn id="14" name="Max receipt 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ADEEVESH/github_test/raw/refs/heads/mesh-v2-wip/builds/OfflineChat-Mesh-2.0.0.apk" TargetMode="External"/><Relationship Id="rId2" Type="http://schemas.openxmlformats.org/officeDocument/2006/relationships/hyperlink" Target="https://github.com/MADEEVESH/github_test/blob/mesh-v2-wip/offlinechat/docs/MESH_V2_TEST_PLAN.md" TargetMode="External"/><Relationship Id="rId3" Type="http://schemas.openxmlformats.org/officeDocument/2006/relationships/hyperlink" Target="https://github.com/MADEEVESH/github_test/blob/mesh-v2-wip/offlinechat/BUILD_REPORT.md" TargetMode="External"/><Relationship Id="rId4" Type="http://schemas.openxmlformats.org/officeDocument/2006/relationships/hyperlink" Target="https://github.com/MADEEVESH/github_test/blob/mesh-v2-wip/offlinechat/docs/MESH_LIMITATIONS.m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43B"/>
    <pageSetUpPr fitToPage="1"/>
  </sheetPr>
  <dimension ref="A1:H43"/>
  <sheetViews>
    <sheetView showGridLines="0" tabSelected="1" zoomScale="85" zoomScaleNormal="85" workbookViewId="0">
      <pane ySplit="5" topLeftCell="A6" activePane="bottomLeft" state="frozen"/>
      <selection pane="bottomLeft"/>
    </sheetView>
  </sheetViews>
  <sheetFormatPr defaultRowHeight="15"/>
  <cols>
    <col min="1" max="1" width="26.7109375" style="1" customWidth="1"/>
    <col min="2" max="8" width="24.7109375" style="1" customWidth="1"/>
  </cols>
  <sheetData>
    <row r="1" spans="1:8" ht="40" customHeight="1">
      <c r="A1" s="2" t="s">
        <v>506</v>
      </c>
      <c r="B1" s="2"/>
      <c r="C1" s="2"/>
      <c r="D1" s="2"/>
      <c r="E1" s="2"/>
      <c r="F1" s="2"/>
      <c r="G1" s="2"/>
      <c r="H1" s="2"/>
    </row>
    <row r="2" spans="1:8" ht="24" customHeight="1">
      <c r="A2" s="3" t="s">
        <v>507</v>
      </c>
      <c r="B2" s="3"/>
      <c r="C2" s="3"/>
      <c r="D2" s="3"/>
      <c r="E2" s="3"/>
      <c r="F2" s="3"/>
      <c r="G2" s="3"/>
      <c r="H2" s="3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5" spans="1:8">
      <c r="A5" s="4" t="s">
        <v>508</v>
      </c>
      <c r="B5" s="4"/>
      <c r="C5" s="4"/>
      <c r="D5" s="4"/>
      <c r="E5" s="4"/>
      <c r="F5" s="4"/>
      <c r="G5" s="4"/>
      <c r="H5" s="4"/>
    </row>
    <row r="6" spans="1:8" ht="32" customHeight="1">
      <c r="A6" s="3" t="s">
        <v>509</v>
      </c>
      <c r="B6" s="3"/>
      <c r="C6" s="3"/>
      <c r="D6" s="3"/>
      <c r="E6" s="3"/>
      <c r="F6" s="3"/>
      <c r="G6" s="3"/>
      <c r="H6" s="3"/>
    </row>
    <row r="7" spans="1:8" ht="32" customHeight="1">
      <c r="A7" s="3" t="s">
        <v>510</v>
      </c>
      <c r="B7" s="3"/>
      <c r="C7" s="3"/>
      <c r="D7" s="3"/>
      <c r="E7" s="3"/>
      <c r="F7" s="3"/>
      <c r="G7" s="3"/>
      <c r="H7" s="3"/>
    </row>
    <row r="8" spans="1:8" ht="32" customHeight="1">
      <c r="A8" s="3" t="s">
        <v>511</v>
      </c>
      <c r="B8" s="3"/>
      <c r="C8" s="3"/>
      <c r="D8" s="3"/>
      <c r="E8" s="3"/>
      <c r="F8" s="3"/>
      <c r="G8" s="3"/>
      <c r="H8" s="3"/>
    </row>
    <row r="9" spans="1:8" ht="32" customHeight="1">
      <c r="A9" s="3" t="s">
        <v>512</v>
      </c>
      <c r="B9" s="3"/>
      <c r="C9" s="3"/>
      <c r="D9" s="3"/>
      <c r="E9" s="3"/>
      <c r="F9" s="3"/>
      <c r="G9" s="3"/>
      <c r="H9" s="3"/>
    </row>
    <row r="10" spans="1:8" ht="32" customHeight="1">
      <c r="A10" s="3" t="s">
        <v>513</v>
      </c>
      <c r="B10" s="3"/>
      <c r="C10" s="3"/>
      <c r="D10" s="3"/>
      <c r="E10" s="3"/>
      <c r="F10" s="3"/>
      <c r="G10" s="3"/>
      <c r="H10" s="3"/>
    </row>
    <row r="11" spans="1:8" ht="32" customHeight="1">
      <c r="A11" s="3" t="s">
        <v>514</v>
      </c>
      <c r="B11" s="3"/>
      <c r="C11" s="3"/>
      <c r="D11" s="3"/>
      <c r="E11" s="3"/>
      <c r="F11" s="3"/>
      <c r="G11" s="3"/>
      <c r="H11" s="3"/>
    </row>
    <row r="13" spans="1:8">
      <c r="A13" s="4" t="s">
        <v>515</v>
      </c>
      <c r="B13" s="4"/>
      <c r="C13" s="4"/>
      <c r="D13" s="4"/>
      <c r="E13" s="4"/>
      <c r="F13" s="4"/>
      <c r="G13" s="4"/>
      <c r="H13" s="4"/>
    </row>
    <row r="14" spans="1:8" ht="40" customHeight="1">
      <c r="A14" s="3" t="s">
        <v>516</v>
      </c>
      <c r="B14" s="3"/>
      <c r="C14" s="3"/>
      <c r="D14" s="3"/>
      <c r="E14" s="3"/>
      <c r="F14" s="3"/>
      <c r="G14" s="3"/>
      <c r="H14" s="3"/>
    </row>
    <row r="15" spans="1:8" ht="40" customHeight="1">
      <c r="A15" s="3" t="s">
        <v>517</v>
      </c>
      <c r="B15" s="3"/>
      <c r="C15" s="3"/>
      <c r="D15" s="3"/>
      <c r="E15" s="3"/>
      <c r="F15" s="3"/>
      <c r="G15" s="3"/>
      <c r="H15" s="3"/>
    </row>
    <row r="16" spans="1:8" ht="40" customHeight="1">
      <c r="A16" s="3" t="s">
        <v>518</v>
      </c>
      <c r="B16" s="3"/>
      <c r="C16" s="3"/>
      <c r="D16" s="3"/>
      <c r="E16" s="3"/>
      <c r="F16" s="3"/>
      <c r="G16" s="3"/>
      <c r="H16" s="3"/>
    </row>
    <row r="17" spans="1:8" ht="40" customHeight="1">
      <c r="A17" s="3" t="s">
        <v>519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520</v>
      </c>
      <c r="B18" s="3"/>
      <c r="C18" s="3"/>
      <c r="D18" s="3"/>
      <c r="E18" s="3"/>
      <c r="F18" s="3"/>
      <c r="G18" s="3"/>
      <c r="H18" s="3"/>
    </row>
    <row r="19" spans="1:8" ht="40" customHeight="1">
      <c r="A19" s="3" t="s">
        <v>521</v>
      </c>
      <c r="B19" s="3"/>
      <c r="C19" s="3"/>
      <c r="D19" s="3"/>
      <c r="E19" s="3"/>
      <c r="F19" s="3"/>
      <c r="G19" s="3"/>
      <c r="H19" s="3"/>
    </row>
    <row r="21" spans="1:8">
      <c r="A21" s="4" t="s">
        <v>522</v>
      </c>
      <c r="B21" s="4"/>
      <c r="C21" s="4"/>
      <c r="D21" s="4"/>
      <c r="E21" s="4"/>
      <c r="F21" s="4"/>
      <c r="G21" s="4"/>
      <c r="H21" s="4"/>
    </row>
    <row r="22" spans="1:8">
      <c r="A22" s="4" t="s">
        <v>523</v>
      </c>
      <c r="B22" s="4" t="s">
        <v>524</v>
      </c>
      <c r="C22" s="4" t="s">
        <v>24</v>
      </c>
      <c r="D22" s="4" t="s">
        <v>525</v>
      </c>
      <c r="E22" s="4" t="s">
        <v>496</v>
      </c>
      <c r="F22" s="4" t="s">
        <v>498</v>
      </c>
      <c r="G22" s="4" t="s">
        <v>526</v>
      </c>
      <c r="H22" s="4" t="s">
        <v>527</v>
      </c>
    </row>
    <row r="23" spans="1:8">
      <c r="A23" s="5" t="s">
        <v>528</v>
      </c>
      <c r="B23" s="6">
        <v>20</v>
      </c>
      <c r="C23" s="6">
        <f>COUNTIF('Test Cases'!$I$6:$I$25,"Not Run")</f>
        <v>20</v>
      </c>
      <c r="D23" s="6">
        <f>COUNTIF('Test Cases'!$I$6:$I$25,"Passed")</f>
        <v>0</v>
      </c>
      <c r="E23" s="6">
        <f>COUNTIF('Test Cases'!$I$6:$I$25,"Failed")</f>
        <v>0</v>
      </c>
      <c r="F23" s="6">
        <f>COUNTIF('Test Cases'!$I$6:$I$25,"Blocked")</f>
        <v>0</v>
      </c>
      <c r="G23" s="6">
        <f>COUNTIF('Test Cases'!$I$6:$I$25,"Not Applicable")</f>
        <v>0</v>
      </c>
      <c r="H23" s="7">
        <f>IF(B23-G23=0,"",D23/(B23-G23))</f>
        <v>0</v>
      </c>
    </row>
    <row r="24" spans="1:8">
      <c r="A24" s="5" t="s">
        <v>529</v>
      </c>
      <c r="B24" s="6">
        <v>13</v>
      </c>
      <c r="C24" s="6">
        <f>COUNTIF('Developer Tests'!$I$6:$I$18,"Not Run")</f>
        <v>13</v>
      </c>
      <c r="D24" s="6">
        <f>COUNTIF('Developer Tests'!$I$6:$I$18,"Passed")</f>
        <v>0</v>
      </c>
      <c r="E24" s="6">
        <f>COUNTIF('Developer Tests'!$I$6:$I$18,"Failed")</f>
        <v>0</v>
      </c>
      <c r="F24" s="6">
        <f>COUNTIF('Developer Tests'!$I$6:$I$18,"Blocked")</f>
        <v>0</v>
      </c>
      <c r="G24" s="6">
        <f>COUNTIF('Developer Tests'!$I$6:$I$18,"Not Applicable")</f>
        <v>0</v>
      </c>
      <c r="H24" s="7">
        <f>IF(B24-G24=0,"",D24/(B24-G24))</f>
        <v>0</v>
      </c>
    </row>
    <row r="26" spans="1:8">
      <c r="A26" s="5" t="s">
        <v>530</v>
      </c>
      <c r="B26" s="6">
        <f>COUNTIF('Timing Runs'!$O$6:$O$205,"?*")</f>
        <v>0</v>
      </c>
    </row>
    <row r="28" spans="1:8">
      <c r="A28" s="4" t="s">
        <v>531</v>
      </c>
      <c r="B28" s="4"/>
      <c r="C28" s="4"/>
      <c r="D28" s="4"/>
      <c r="E28" s="4"/>
      <c r="F28" s="4"/>
      <c r="G28" s="4"/>
      <c r="H28" s="4"/>
    </row>
    <row r="29" spans="1:8">
      <c r="A29" s="3" t="s">
        <v>532</v>
      </c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2" spans="1:8">
      <c r="A32" s="3" t="s">
        <v>533</v>
      </c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5" spans="1:8">
      <c r="A35" s="5" t="s">
        <v>534</v>
      </c>
      <c r="B35" s="5"/>
      <c r="C35" s="3" t="s">
        <v>535</v>
      </c>
      <c r="D35" s="3"/>
      <c r="E35" s="3"/>
      <c r="F35" s="3"/>
      <c r="G35" s="3"/>
      <c r="H35" s="3"/>
    </row>
    <row r="36" spans="1:8">
      <c r="A36" s="5" t="s">
        <v>536</v>
      </c>
      <c r="B36" s="5"/>
      <c r="C36" s="3" t="s">
        <v>537</v>
      </c>
      <c r="D36" s="3"/>
      <c r="E36" s="3"/>
      <c r="F36" s="3"/>
      <c r="G36" s="3"/>
      <c r="H36" s="3"/>
    </row>
    <row r="38" spans="1:8">
      <c r="A38" s="4" t="s">
        <v>538</v>
      </c>
      <c r="B38" s="4"/>
      <c r="C38" s="4"/>
      <c r="D38" s="4"/>
      <c r="E38" s="4"/>
      <c r="F38" s="4"/>
      <c r="G38" s="4"/>
      <c r="H38" s="4"/>
    </row>
    <row r="39" spans="1:8">
      <c r="A39" s="8" t="s">
        <v>528</v>
      </c>
      <c r="D39" s="8" t="s">
        <v>542</v>
      </c>
    </row>
    <row r="40" spans="1:8">
      <c r="A40" s="8" t="s">
        <v>529</v>
      </c>
      <c r="D40" s="8" t="s">
        <v>543</v>
      </c>
    </row>
    <row r="41" spans="1:8">
      <c r="A41" s="8" t="s">
        <v>539</v>
      </c>
      <c r="D41" s="8" t="s">
        <v>544</v>
      </c>
    </row>
    <row r="42" spans="1:8">
      <c r="A42" s="8" t="s">
        <v>540</v>
      </c>
      <c r="D42" s="8" t="s">
        <v>545</v>
      </c>
    </row>
    <row r="43" spans="1:8">
      <c r="A43" s="8" t="s">
        <v>541</v>
      </c>
    </row>
  </sheetData>
  <mergeCells count="25">
    <mergeCell ref="A1:H1"/>
    <mergeCell ref="A2:H3"/>
    <mergeCell ref="A5:H5"/>
    <mergeCell ref="A6:H6"/>
    <mergeCell ref="A7:H7"/>
    <mergeCell ref="A8:H8"/>
    <mergeCell ref="A9:H9"/>
    <mergeCell ref="A10:H10"/>
    <mergeCell ref="A11:H11"/>
    <mergeCell ref="A13:H13"/>
    <mergeCell ref="A14:H14"/>
    <mergeCell ref="A15:H15"/>
    <mergeCell ref="A16:H16"/>
    <mergeCell ref="A17:H17"/>
    <mergeCell ref="A18:H18"/>
    <mergeCell ref="A19:H19"/>
    <mergeCell ref="A21:H21"/>
    <mergeCell ref="A28:H28"/>
    <mergeCell ref="A29:H30"/>
    <mergeCell ref="A32:H33"/>
    <mergeCell ref="A35:B35"/>
    <mergeCell ref="C35:H35"/>
    <mergeCell ref="A36:B36"/>
    <mergeCell ref="C36:H36"/>
    <mergeCell ref="A38:H38"/>
  </mergeCells>
  <hyperlinks>
    <hyperlink ref="A39" location="'Test Cases'!A1" display="Test Cases"/>
    <hyperlink ref="D39" r:id="rId1"/>
    <hyperlink ref="A40" location="'Developer Tests'!A1" display="Developer Tests"/>
    <hyperlink ref="D40" r:id="rId2"/>
    <hyperlink ref="A41" location="'Device Register'!A1" display="Device Register"/>
    <hyperlink ref="D41" r:id="rId3"/>
    <hyperlink ref="A42" location="'Timing Runs'!A1" display="Timing Runs"/>
    <hyperlink ref="D42" r:id="rId4"/>
    <hyperlink ref="A43" location="'Timing Summary'!A1" display="Timing Summary"/>
  </hyperlinks>
  <pageMargins left="0.25" right="0.25" top="0.4" bottom="0.4" header="0.3" footer="0.3"/>
  <pageSetup paperSize="8" fitToHeight="0" orientation="landscape"/>
  <headerFooter>
    <oddHeader>&amp;LOfflineChat Mesh v2&amp;RStart Here</oddHeader>
    <oddFooter>&amp;LExperimental — device checks unverified&amp;CPage &amp;P of &amp;N&amp;RRecord actual evidence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67A77"/>
    <pageSetUpPr fitToPage="1"/>
  </sheetPr>
  <dimension ref="A1:P9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style="1" customWidth="1"/>
    <col min="2" max="3" width="25.7109375" style="1" customWidth="1"/>
    <col min="4" max="4" width="18.7109375" style="1" customWidth="1"/>
    <col min="5" max="5" width="12.7109375" style="1" customWidth="1"/>
    <col min="6" max="6" width="22.7109375" style="1" customWidth="1"/>
    <col min="7" max="7" width="28.7109375" style="1" customWidth="1"/>
    <col min="8" max="8" width="25.7109375" style="1" customWidth="1"/>
    <col min="9" max="9" width="18.7109375" style="1" customWidth="1"/>
    <col min="10" max="10" width="22.7109375" style="1" customWidth="1"/>
    <col min="11" max="11" width="24.7109375" style="1" customWidth="1"/>
    <col min="12" max="12" width="25.7109375" style="1" customWidth="1"/>
    <col min="13" max="13" width="20.7109375" style="1" customWidth="1"/>
    <col min="14" max="14" width="25.7109375" style="1" customWidth="1"/>
    <col min="15" max="15" width="26.7109375" style="1" customWidth="1"/>
    <col min="16" max="16" width="40.7109375" style="1" customWidth="1"/>
  </cols>
  <sheetData>
    <row r="1" spans="1:16" ht="40" customHeight="1">
      <c r="A1" s="2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4" customHeight="1">
      <c r="A2" s="3" t="s">
        <v>241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1:16" ht="32" customHeight="1">
      <c r="A5" s="4" t="s">
        <v>242</v>
      </c>
      <c r="B5" s="4" t="s">
        <v>243</v>
      </c>
      <c r="C5" s="4" t="s">
        <v>244</v>
      </c>
      <c r="D5" s="4" t="s">
        <v>245</v>
      </c>
      <c r="E5" s="4" t="s">
        <v>246</v>
      </c>
      <c r="F5" s="4" t="s">
        <v>247</v>
      </c>
      <c r="G5" s="4" t="s">
        <v>248</v>
      </c>
      <c r="H5" s="4" t="s">
        <v>249</v>
      </c>
      <c r="I5" s="4" t="s">
        <v>250</v>
      </c>
      <c r="J5" s="4" t="s">
        <v>251</v>
      </c>
      <c r="K5" s="4" t="s">
        <v>252</v>
      </c>
      <c r="L5" s="4" t="s">
        <v>253</v>
      </c>
      <c r="M5" s="4" t="s">
        <v>254</v>
      </c>
      <c r="N5" s="4" t="s">
        <v>255</v>
      </c>
      <c r="O5" s="4" t="s">
        <v>256</v>
      </c>
      <c r="P5" s="4" t="s">
        <v>257</v>
      </c>
    </row>
    <row r="6" spans="1:16" ht="55" customHeight="1">
      <c r="A6" s="1" t="s">
        <v>258</v>
      </c>
      <c r="B6" s="1" t="s">
        <v>259</v>
      </c>
      <c r="C6" s="9"/>
      <c r="D6" s="9"/>
      <c r="E6" s="9"/>
      <c r="F6" s="9"/>
      <c r="G6" s="9"/>
      <c r="H6" s="9"/>
      <c r="I6" s="9" t="s">
        <v>260</v>
      </c>
      <c r="J6" s="9" t="s">
        <v>260</v>
      </c>
      <c r="K6" s="9"/>
      <c r="L6" s="9"/>
      <c r="M6" s="9"/>
      <c r="N6" s="9"/>
      <c r="O6" s="9"/>
      <c r="P6" s="9"/>
    </row>
    <row r="7" spans="1:16" ht="55" customHeight="1">
      <c r="A7" s="1" t="s">
        <v>261</v>
      </c>
      <c r="B7" s="1" t="s">
        <v>262</v>
      </c>
      <c r="C7" s="9"/>
      <c r="D7" s="9"/>
      <c r="E7" s="9"/>
      <c r="F7" s="9"/>
      <c r="G7" s="9"/>
      <c r="H7" s="9"/>
      <c r="I7" s="9" t="s">
        <v>260</v>
      </c>
      <c r="J7" s="9" t="s">
        <v>260</v>
      </c>
      <c r="K7" s="9"/>
      <c r="L7" s="9"/>
      <c r="M7" s="9"/>
      <c r="N7" s="9"/>
      <c r="O7" s="9"/>
      <c r="P7" s="9"/>
    </row>
    <row r="8" spans="1:16" ht="55" customHeight="1">
      <c r="A8" s="1" t="s">
        <v>263</v>
      </c>
      <c r="B8" s="1" t="s">
        <v>264</v>
      </c>
      <c r="C8" s="9"/>
      <c r="D8" s="9"/>
      <c r="E8" s="9"/>
      <c r="F8" s="9"/>
      <c r="G8" s="9"/>
      <c r="H8" s="9"/>
      <c r="I8" s="9" t="s">
        <v>260</v>
      </c>
      <c r="J8" s="9" t="s">
        <v>260</v>
      </c>
      <c r="K8" s="9"/>
      <c r="L8" s="9"/>
      <c r="M8" s="9"/>
      <c r="N8" s="9"/>
      <c r="O8" s="9"/>
      <c r="P8" s="9"/>
    </row>
    <row r="9" spans="1:16" ht="55" customHeight="1">
      <c r="A9" s="1" t="s">
        <v>265</v>
      </c>
      <c r="B9" s="1" t="s">
        <v>266</v>
      </c>
      <c r="C9" s="9"/>
      <c r="D9" s="9"/>
      <c r="E9" s="9"/>
      <c r="F9" s="9"/>
      <c r="G9" s="9"/>
      <c r="H9" s="9"/>
      <c r="I9" s="9" t="s">
        <v>260</v>
      </c>
      <c r="J9" s="9" t="s">
        <v>260</v>
      </c>
      <c r="K9" s="9"/>
      <c r="L9" s="9"/>
      <c r="M9" s="9"/>
      <c r="N9" s="9"/>
      <c r="O9" s="9"/>
      <c r="P9" s="9"/>
    </row>
  </sheetData>
  <mergeCells count="2">
    <mergeCell ref="A1:P1"/>
    <mergeCell ref="A2:P3"/>
  </mergeCells>
  <dataValidations count="3">
    <dataValidation type="list" allowBlank="1" showInputMessage="1" showErrorMessage="1" sqref="I6:I9">
      <formula1>"Unknown,Yes,No"</formula1>
    </dataValidation>
    <dataValidation type="list" allowBlank="1" showInputMessage="1" showErrorMessage="1" sqref="J6:J9">
      <formula1>"Unknown,Yes,No"</formula1>
    </dataValidation>
    <dataValidation type="list" allowBlank="1" showInputMessage="1" showErrorMessage="1" sqref="N6:N9">
      <formula1>"Default,Battery saver,Restricted,Unrestricted,Other"</formula1>
    </dataValidation>
  </dataValidations>
  <pageMargins left="0.25" right="0.25" top="0.4" bottom="0.4" header="0.3" footer="0.3"/>
  <pageSetup paperSize="8" fitToHeight="0" orientation="landscape"/>
  <headerFooter>
    <oddHeader>&amp;LOfflineChat Mesh v2&amp;RDevice Register</oddHeader>
    <oddFooter>&amp;LExperimental — device checks unverified&amp;CPage &amp;P of &amp;N&amp;RRecord actual evidence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3EB"/>
    <pageSetUpPr fitToPage="1"/>
  </sheetPr>
  <dimension ref="A1:O25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8.7109375" style="1" customWidth="1"/>
    <col min="2" max="2" width="9.7109375" style="1" customWidth="1"/>
    <col min="3" max="3" width="18.7109375" style="1" customWidth="1"/>
    <col min="4" max="4" width="33.7109375" style="1" customWidth="1"/>
    <col min="5" max="5" width="42.7109375" style="1" customWidth="1"/>
    <col min="6" max="6" width="65.7109375" style="1" customWidth="1"/>
    <col min="7" max="7" width="62.7109375" style="1" customWidth="1"/>
    <col min="8" max="8" width="48.7109375" style="1" customWidth="1"/>
    <col min="9" max="9" width="18.7109375" style="1" customWidth="1"/>
    <col min="10" max="10" width="20.7109375" style="1" customWidth="1"/>
    <col min="11" max="11" width="16.7109375" style="1" customWidth="1"/>
    <col min="12" max="12" width="20.7109375" style="1" customWidth="1"/>
    <col min="13" max="13" width="25.7109375" style="1" customWidth="1"/>
    <col min="14" max="14" width="45.7109375" style="1" customWidth="1"/>
    <col min="15" max="15" width="44.7109375" style="1" customWidth="1"/>
  </cols>
  <sheetData>
    <row r="1" spans="1:15" ht="4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ht="32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ht="90" customHeight="1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9"/>
      <c r="I6" s="9" t="s">
        <v>24</v>
      </c>
      <c r="J6" s="9"/>
      <c r="K6" s="10"/>
      <c r="L6" s="9"/>
      <c r="M6" s="9"/>
      <c r="N6" s="9"/>
      <c r="O6" s="9" t="s">
        <v>25</v>
      </c>
    </row>
    <row r="7" spans="1:15" ht="90" customHeight="1">
      <c r="A7" s="1" t="s">
        <v>26</v>
      </c>
      <c r="B7" s="1" t="s">
        <v>18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9"/>
      <c r="I7" s="9" t="s">
        <v>24</v>
      </c>
      <c r="J7" s="9"/>
      <c r="K7" s="10"/>
      <c r="L7" s="9"/>
      <c r="M7" s="9"/>
      <c r="N7" s="9"/>
      <c r="O7" s="9" t="s">
        <v>32</v>
      </c>
    </row>
    <row r="8" spans="1:15" ht="90" customHeight="1">
      <c r="A8" s="1" t="s">
        <v>33</v>
      </c>
      <c r="B8" s="1" t="s">
        <v>18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9"/>
      <c r="I8" s="9" t="s">
        <v>24</v>
      </c>
      <c r="J8" s="9"/>
      <c r="K8" s="10"/>
      <c r="L8" s="9"/>
      <c r="M8" s="9"/>
      <c r="N8" s="9"/>
      <c r="O8" s="9" t="s">
        <v>39</v>
      </c>
    </row>
    <row r="9" spans="1:15" ht="122" customHeight="1">
      <c r="A9" s="1" t="s">
        <v>40</v>
      </c>
      <c r="B9" s="1" t="s">
        <v>18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9"/>
      <c r="I9" s="9" t="s">
        <v>24</v>
      </c>
      <c r="J9" s="9"/>
      <c r="K9" s="10"/>
      <c r="L9" s="9"/>
      <c r="M9" s="9"/>
      <c r="N9" s="9"/>
      <c r="O9" s="9" t="s">
        <v>46</v>
      </c>
    </row>
    <row r="10" spans="1:15" ht="90" customHeight="1">
      <c r="A10" s="1" t="s">
        <v>47</v>
      </c>
      <c r="B10" s="1" t="s">
        <v>18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  <c r="H10" s="9"/>
      <c r="I10" s="9" t="s">
        <v>24</v>
      </c>
      <c r="J10" s="9"/>
      <c r="K10" s="10"/>
      <c r="L10" s="9"/>
      <c r="M10" s="9"/>
      <c r="N10" s="9"/>
      <c r="O10" s="9" t="s">
        <v>53</v>
      </c>
    </row>
    <row r="11" spans="1:15" ht="90" customHeight="1">
      <c r="A11" s="1" t="s">
        <v>54</v>
      </c>
      <c r="B11" s="1" t="s">
        <v>18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9"/>
      <c r="I11" s="9" t="s">
        <v>24</v>
      </c>
      <c r="J11" s="9"/>
      <c r="K11" s="10"/>
      <c r="L11" s="9"/>
      <c r="M11" s="9"/>
      <c r="N11" s="9"/>
      <c r="O11" s="9" t="s">
        <v>60</v>
      </c>
    </row>
    <row r="12" spans="1:15" ht="90" customHeight="1">
      <c r="A12" s="1" t="s">
        <v>61</v>
      </c>
      <c r="B12" s="1" t="s">
        <v>18</v>
      </c>
      <c r="C12" s="1" t="s">
        <v>48</v>
      </c>
      <c r="D12" s="1" t="s">
        <v>62</v>
      </c>
      <c r="E12" s="1" t="s">
        <v>63</v>
      </c>
      <c r="F12" s="1" t="s">
        <v>64</v>
      </c>
      <c r="G12" s="1" t="s">
        <v>65</v>
      </c>
      <c r="H12" s="9"/>
      <c r="I12" s="9" t="s">
        <v>24</v>
      </c>
      <c r="J12" s="9"/>
      <c r="K12" s="10"/>
      <c r="L12" s="9"/>
      <c r="M12" s="9"/>
      <c r="N12" s="9"/>
      <c r="O12" s="9" t="s">
        <v>66</v>
      </c>
    </row>
    <row r="13" spans="1:15" ht="94" customHeight="1">
      <c r="A13" s="1" t="s">
        <v>67</v>
      </c>
      <c r="B13" s="1" t="s">
        <v>18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9"/>
      <c r="I13" s="9" t="s">
        <v>24</v>
      </c>
      <c r="J13" s="9"/>
      <c r="K13" s="10"/>
      <c r="L13" s="9"/>
      <c r="M13" s="9"/>
      <c r="N13" s="9"/>
      <c r="O13" s="9" t="s">
        <v>73</v>
      </c>
    </row>
    <row r="14" spans="1:15" ht="94" customHeight="1">
      <c r="A14" s="1" t="s">
        <v>74</v>
      </c>
      <c r="B14" s="1" t="s">
        <v>18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  <c r="H14" s="9"/>
      <c r="I14" s="9" t="s">
        <v>24</v>
      </c>
      <c r="J14" s="9"/>
      <c r="K14" s="10"/>
      <c r="L14" s="9"/>
      <c r="M14" s="9"/>
      <c r="N14" s="9"/>
      <c r="O14" s="9" t="s">
        <v>80</v>
      </c>
    </row>
    <row r="15" spans="1:15" ht="108" customHeight="1">
      <c r="A15" s="1" t="s">
        <v>81</v>
      </c>
      <c r="B15" s="1" t="s">
        <v>18</v>
      </c>
      <c r="C15" s="1" t="s">
        <v>75</v>
      </c>
      <c r="D15" s="1" t="s">
        <v>82</v>
      </c>
      <c r="E15" s="1" t="s">
        <v>83</v>
      </c>
      <c r="F15" s="1" t="s">
        <v>84</v>
      </c>
      <c r="G15" s="1" t="s">
        <v>85</v>
      </c>
      <c r="H15" s="9"/>
      <c r="I15" s="9" t="s">
        <v>24</v>
      </c>
      <c r="J15" s="9"/>
      <c r="K15" s="10"/>
      <c r="L15" s="9"/>
      <c r="M15" s="9"/>
      <c r="N15" s="9"/>
      <c r="O15" s="9" t="s">
        <v>86</v>
      </c>
    </row>
    <row r="16" spans="1:15" ht="90" customHeight="1">
      <c r="A16" s="1" t="s">
        <v>87</v>
      </c>
      <c r="B16" s="1" t="s">
        <v>88</v>
      </c>
      <c r="C16" s="1" t="s">
        <v>75</v>
      </c>
      <c r="D16" s="1" t="s">
        <v>89</v>
      </c>
      <c r="E16" s="1" t="s">
        <v>90</v>
      </c>
      <c r="F16" s="1" t="s">
        <v>91</v>
      </c>
      <c r="G16" s="1" t="s">
        <v>92</v>
      </c>
      <c r="H16" s="9"/>
      <c r="I16" s="9" t="s">
        <v>24</v>
      </c>
      <c r="J16" s="9"/>
      <c r="K16" s="10"/>
      <c r="L16" s="9"/>
      <c r="M16" s="9"/>
      <c r="N16" s="9"/>
      <c r="O16" s="9" t="s">
        <v>93</v>
      </c>
    </row>
    <row r="17" spans="1:15" ht="90" customHeight="1">
      <c r="A17" s="1" t="s">
        <v>94</v>
      </c>
      <c r="B17" s="1" t="s">
        <v>18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9"/>
      <c r="I17" s="9" t="s">
        <v>24</v>
      </c>
      <c r="J17" s="9"/>
      <c r="K17" s="10"/>
      <c r="L17" s="9"/>
      <c r="M17" s="9"/>
      <c r="N17" s="9"/>
      <c r="O17" s="9" t="s">
        <v>100</v>
      </c>
    </row>
    <row r="18" spans="1:15" ht="90" customHeight="1">
      <c r="A18" s="1" t="s">
        <v>101</v>
      </c>
      <c r="B18" s="1" t="s">
        <v>88</v>
      </c>
      <c r="C18" s="1" t="s">
        <v>102</v>
      </c>
      <c r="D18" s="1" t="s">
        <v>103</v>
      </c>
      <c r="E18" s="1" t="s">
        <v>104</v>
      </c>
      <c r="F18" s="1" t="s">
        <v>105</v>
      </c>
      <c r="G18" s="1" t="s">
        <v>106</v>
      </c>
      <c r="H18" s="9"/>
      <c r="I18" s="9" t="s">
        <v>24</v>
      </c>
      <c r="J18" s="9"/>
      <c r="K18" s="10"/>
      <c r="L18" s="9"/>
      <c r="M18" s="9"/>
      <c r="N18" s="9"/>
      <c r="O18" s="9" t="s">
        <v>107</v>
      </c>
    </row>
    <row r="19" spans="1:15" ht="90" customHeight="1">
      <c r="A19" s="1" t="s">
        <v>108</v>
      </c>
      <c r="B19" s="1" t="s">
        <v>18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  <c r="H19" s="9"/>
      <c r="I19" s="9" t="s">
        <v>24</v>
      </c>
      <c r="J19" s="9"/>
      <c r="K19" s="10"/>
      <c r="L19" s="9"/>
      <c r="M19" s="9"/>
      <c r="N19" s="9"/>
      <c r="O19" s="9" t="s">
        <v>114</v>
      </c>
    </row>
    <row r="20" spans="1:15" ht="90" customHeight="1">
      <c r="A20" s="1" t="s">
        <v>115</v>
      </c>
      <c r="B20" s="1" t="s">
        <v>18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120</v>
      </c>
      <c r="H20" s="9"/>
      <c r="I20" s="9" t="s">
        <v>24</v>
      </c>
      <c r="J20" s="9"/>
      <c r="K20" s="10"/>
      <c r="L20" s="9"/>
      <c r="M20" s="9"/>
      <c r="N20" s="9"/>
      <c r="O20" s="9" t="s">
        <v>121</v>
      </c>
    </row>
    <row r="21" spans="1:15" ht="90" customHeight="1">
      <c r="A21" s="1" t="s">
        <v>122</v>
      </c>
      <c r="B21" s="1" t="s">
        <v>88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  <c r="H21" s="9"/>
      <c r="I21" s="9" t="s">
        <v>24</v>
      </c>
      <c r="J21" s="9"/>
      <c r="K21" s="10"/>
      <c r="L21" s="9"/>
      <c r="M21" s="9"/>
      <c r="N21" s="9"/>
      <c r="O21" s="9" t="s">
        <v>128</v>
      </c>
    </row>
    <row r="22" spans="1:15" ht="90" customHeight="1">
      <c r="A22" s="1" t="s">
        <v>129</v>
      </c>
      <c r="B22" s="1" t="s">
        <v>18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9"/>
      <c r="I22" s="9" t="s">
        <v>24</v>
      </c>
      <c r="J22" s="9"/>
      <c r="K22" s="10"/>
      <c r="L22" s="9"/>
      <c r="M22" s="9"/>
      <c r="N22" s="9"/>
      <c r="O22" s="9" t="s">
        <v>135</v>
      </c>
    </row>
    <row r="23" spans="1:15" ht="90" customHeight="1">
      <c r="A23" s="1" t="s">
        <v>136</v>
      </c>
      <c r="B23" s="1" t="s">
        <v>88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141</v>
      </c>
      <c r="H23" s="9"/>
      <c r="I23" s="9" t="s">
        <v>24</v>
      </c>
      <c r="J23" s="9"/>
      <c r="K23" s="10"/>
      <c r="L23" s="9"/>
      <c r="M23" s="9"/>
      <c r="N23" s="9"/>
      <c r="O23" s="9" t="s">
        <v>142</v>
      </c>
    </row>
    <row r="24" spans="1:15" ht="108" customHeight="1">
      <c r="A24" s="1" t="s">
        <v>143</v>
      </c>
      <c r="B24" s="1" t="s">
        <v>88</v>
      </c>
      <c r="C24" s="1" t="s">
        <v>144</v>
      </c>
      <c r="D24" s="1" t="s">
        <v>145</v>
      </c>
      <c r="E24" s="1" t="s">
        <v>146</v>
      </c>
      <c r="F24" s="1" t="s">
        <v>147</v>
      </c>
      <c r="G24" s="1" t="s">
        <v>148</v>
      </c>
      <c r="H24" s="9"/>
      <c r="I24" s="9" t="s">
        <v>24</v>
      </c>
      <c r="J24" s="9"/>
      <c r="K24" s="10"/>
      <c r="L24" s="9"/>
      <c r="M24" s="9"/>
      <c r="N24" s="9"/>
      <c r="O24" s="9" t="s">
        <v>149</v>
      </c>
    </row>
    <row r="25" spans="1:15" ht="94" customHeight="1">
      <c r="A25" s="1" t="s">
        <v>150</v>
      </c>
      <c r="B25" s="1" t="s">
        <v>88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  <c r="H25" s="9"/>
      <c r="I25" s="9" t="s">
        <v>24</v>
      </c>
      <c r="J25" s="9"/>
      <c r="K25" s="10"/>
      <c r="L25" s="9"/>
      <c r="M25" s="9"/>
      <c r="N25" s="9"/>
      <c r="O25" s="9" t="s">
        <v>156</v>
      </c>
    </row>
  </sheetData>
  <mergeCells count="2">
    <mergeCell ref="A1:O1"/>
    <mergeCell ref="A2:O3"/>
  </mergeCells>
  <conditionalFormatting sqref="I6:I25">
    <cfRule type="expression" dxfId="0" priority="1">
      <formula>$I6="Passed"</formula>
    </cfRule>
    <cfRule type="expression" dxfId="0" priority="2">
      <formula>$I6="Delivered"</formula>
    </cfRule>
    <cfRule type="expression" dxfId="1" priority="3">
      <formula>$I6="Failed"</formula>
    </cfRule>
    <cfRule type="expression" dxfId="1" priority="4">
      <formula>$I6="Expired"</formula>
    </cfRule>
    <cfRule type="expression" dxfId="2" priority="5">
      <formula>$I6="Blocked"</formula>
    </cfRule>
    <cfRule type="expression" dxfId="2" priority="6">
      <formula>$I6="Received; receipt pending"</formula>
    </cfRule>
    <cfRule type="expression" dxfId="3" priority="7">
      <formula>$I6="Not Run"</formula>
    </cfRule>
    <cfRule type="expression" dxfId="3" priority="8">
      <formula>$I6="Not Applicable"</formula>
    </cfRule>
  </conditionalFormatting>
  <dataValidations count="2">
    <dataValidation type="list" allowBlank="1" showInputMessage="1" showErrorMessage="1" errorTitle="Choose a listed status" error="Use the drop-down status values." promptTitle="Record actual outcome" prompt="Not Run is the starting state. Add actual observations/evidence before marking Passed." sqref="I6:I25">
      <formula1>"Not Run,Passed,Failed,Blocked,Not Applicable"</formula1>
    </dataValidation>
    <dataValidation type="list" allowBlank="1" showInputMessage="1" showErrorMessage="1" sqref="B6:B25">
      <formula1>"P0,P1,P2"</formula1>
    </dataValidation>
  </dataValidations>
  <pageMargins left="0.25" right="0.25" top="0.4" bottom="0.4" header="0.3" footer="0.3"/>
  <pageSetup paperSize="8" fitToHeight="0" orientation="landscape"/>
  <headerFooter>
    <oddHeader>&amp;LOfflineChat Mesh v2&amp;RTest Cases</oddHeader>
    <oddFooter>&amp;LExperimental — device checks unverified&amp;CPage &amp;P of &amp;N&amp;RRecord actual evidence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351B5"/>
    <pageSetUpPr fitToPage="1"/>
  </sheetPr>
  <dimension ref="A1:O1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8.7109375" style="1" customWidth="1"/>
    <col min="2" max="2" width="9.7109375" style="1" customWidth="1"/>
    <col min="3" max="3" width="18.7109375" style="1" customWidth="1"/>
    <col min="4" max="4" width="33.7109375" style="1" customWidth="1"/>
    <col min="5" max="5" width="42.7109375" style="1" customWidth="1"/>
    <col min="6" max="6" width="65.7109375" style="1" customWidth="1"/>
    <col min="7" max="7" width="62.7109375" style="1" customWidth="1"/>
    <col min="8" max="8" width="48.7109375" style="1" customWidth="1"/>
    <col min="9" max="9" width="18.7109375" style="1" customWidth="1"/>
    <col min="10" max="10" width="20.7109375" style="1" customWidth="1"/>
    <col min="11" max="11" width="16.7109375" style="1" customWidth="1"/>
    <col min="12" max="12" width="20.7109375" style="1" customWidth="1"/>
    <col min="13" max="13" width="25.7109375" style="1" customWidth="1"/>
    <col min="14" max="14" width="45.7109375" style="1" customWidth="1"/>
    <col min="15" max="15" width="44.7109375" style="1" customWidth="1"/>
  </cols>
  <sheetData>
    <row r="1" spans="1:15" ht="40" customHeight="1">
      <c r="A1" s="2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ht="32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ht="90" customHeight="1">
      <c r="A6" s="1" t="s">
        <v>158</v>
      </c>
      <c r="B6" s="1" t="s">
        <v>18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163</v>
      </c>
      <c r="H6" s="9"/>
      <c r="I6" s="9" t="s">
        <v>24</v>
      </c>
      <c r="J6" s="9"/>
      <c r="K6" s="10"/>
      <c r="L6" s="9"/>
      <c r="M6" s="9"/>
      <c r="N6" s="9"/>
      <c r="O6" s="9" t="s">
        <v>164</v>
      </c>
    </row>
    <row r="7" spans="1:15" ht="90" customHeight="1">
      <c r="A7" s="1" t="s">
        <v>165</v>
      </c>
      <c r="B7" s="1" t="s">
        <v>18</v>
      </c>
      <c r="C7" s="1" t="s">
        <v>159</v>
      </c>
      <c r="D7" s="1" t="s">
        <v>166</v>
      </c>
      <c r="E7" s="1" t="s">
        <v>167</v>
      </c>
      <c r="F7" s="1" t="s">
        <v>168</v>
      </c>
      <c r="G7" s="1" t="s">
        <v>169</v>
      </c>
      <c r="H7" s="9"/>
      <c r="I7" s="9" t="s">
        <v>24</v>
      </c>
      <c r="J7" s="9"/>
      <c r="K7" s="10"/>
      <c r="L7" s="9"/>
      <c r="M7" s="9"/>
      <c r="N7" s="9"/>
      <c r="O7" s="9" t="s">
        <v>170</v>
      </c>
    </row>
    <row r="8" spans="1:15" ht="90" customHeight="1">
      <c r="A8" s="1" t="s">
        <v>171</v>
      </c>
      <c r="B8" s="1" t="s">
        <v>18</v>
      </c>
      <c r="C8" s="1" t="s">
        <v>159</v>
      </c>
      <c r="D8" s="1" t="s">
        <v>172</v>
      </c>
      <c r="E8" s="1" t="s">
        <v>173</v>
      </c>
      <c r="F8" s="1" t="s">
        <v>174</v>
      </c>
      <c r="G8" s="1" t="s">
        <v>175</v>
      </c>
      <c r="H8" s="9"/>
      <c r="I8" s="9" t="s">
        <v>24</v>
      </c>
      <c r="J8" s="9"/>
      <c r="K8" s="10"/>
      <c r="L8" s="9"/>
      <c r="M8" s="9"/>
      <c r="N8" s="9"/>
      <c r="O8" s="9"/>
    </row>
    <row r="9" spans="1:15" ht="90" customHeight="1">
      <c r="A9" s="1" t="s">
        <v>176</v>
      </c>
      <c r="B9" s="1" t="s">
        <v>18</v>
      </c>
      <c r="C9" s="1" t="s">
        <v>159</v>
      </c>
      <c r="D9" s="1" t="s">
        <v>177</v>
      </c>
      <c r="E9" s="1" t="s">
        <v>178</v>
      </c>
      <c r="F9" s="1" t="s">
        <v>179</v>
      </c>
      <c r="G9" s="1" t="s">
        <v>180</v>
      </c>
      <c r="H9" s="9"/>
      <c r="I9" s="9" t="s">
        <v>24</v>
      </c>
      <c r="J9" s="9"/>
      <c r="K9" s="10"/>
      <c r="L9" s="9"/>
      <c r="M9" s="9"/>
      <c r="N9" s="9"/>
      <c r="O9" s="9"/>
    </row>
    <row r="10" spans="1:15" ht="90" customHeight="1">
      <c r="A10" s="1" t="s">
        <v>181</v>
      </c>
      <c r="B10" s="1" t="s">
        <v>18</v>
      </c>
      <c r="C10" s="1" t="s">
        <v>182</v>
      </c>
      <c r="D10" s="1" t="s">
        <v>183</v>
      </c>
      <c r="E10" s="1" t="s">
        <v>184</v>
      </c>
      <c r="F10" s="1" t="s">
        <v>185</v>
      </c>
      <c r="G10" s="1" t="s">
        <v>186</v>
      </c>
      <c r="H10" s="9"/>
      <c r="I10" s="9" t="s">
        <v>24</v>
      </c>
      <c r="J10" s="9"/>
      <c r="K10" s="10"/>
      <c r="L10" s="9"/>
      <c r="M10" s="9"/>
      <c r="N10" s="9"/>
      <c r="O10" s="9" t="s">
        <v>187</v>
      </c>
    </row>
    <row r="11" spans="1:15" ht="90" customHeight="1">
      <c r="A11" s="1" t="s">
        <v>188</v>
      </c>
      <c r="B11" s="1" t="s">
        <v>18</v>
      </c>
      <c r="C11" s="1" t="s">
        <v>182</v>
      </c>
      <c r="D11" s="1" t="s">
        <v>189</v>
      </c>
      <c r="E11" s="1" t="s">
        <v>190</v>
      </c>
      <c r="F11" s="1" t="s">
        <v>191</v>
      </c>
      <c r="G11" s="1" t="s">
        <v>192</v>
      </c>
      <c r="H11" s="9"/>
      <c r="I11" s="9" t="s">
        <v>24</v>
      </c>
      <c r="J11" s="9"/>
      <c r="K11" s="10"/>
      <c r="L11" s="9"/>
      <c r="M11" s="9"/>
      <c r="N11" s="9"/>
      <c r="O11" s="9"/>
    </row>
    <row r="12" spans="1:15" ht="90" customHeight="1">
      <c r="A12" s="1" t="s">
        <v>193</v>
      </c>
      <c r="B12" s="1" t="s">
        <v>18</v>
      </c>
      <c r="C12" s="1" t="s">
        <v>194</v>
      </c>
      <c r="D12" s="1" t="s">
        <v>195</v>
      </c>
      <c r="E12" s="1" t="s">
        <v>196</v>
      </c>
      <c r="F12" s="1" t="s">
        <v>197</v>
      </c>
      <c r="G12" s="1" t="s">
        <v>198</v>
      </c>
      <c r="H12" s="9"/>
      <c r="I12" s="9" t="s">
        <v>24</v>
      </c>
      <c r="J12" s="9"/>
      <c r="K12" s="10"/>
      <c r="L12" s="9"/>
      <c r="M12" s="9"/>
      <c r="N12" s="9"/>
      <c r="O12" s="9"/>
    </row>
    <row r="13" spans="1:15" ht="90" customHeight="1">
      <c r="A13" s="1" t="s">
        <v>199</v>
      </c>
      <c r="B13" s="1" t="s">
        <v>18</v>
      </c>
      <c r="C13" s="1" t="s">
        <v>200</v>
      </c>
      <c r="D13" s="1" t="s">
        <v>201</v>
      </c>
      <c r="E13" s="1" t="s">
        <v>202</v>
      </c>
      <c r="F13" s="1" t="s">
        <v>203</v>
      </c>
      <c r="G13" s="1" t="s">
        <v>204</v>
      </c>
      <c r="H13" s="9"/>
      <c r="I13" s="9" t="s">
        <v>24</v>
      </c>
      <c r="J13" s="9"/>
      <c r="K13" s="10"/>
      <c r="L13" s="9"/>
      <c r="M13" s="9"/>
      <c r="N13" s="9"/>
      <c r="O13" s="9" t="s">
        <v>205</v>
      </c>
    </row>
    <row r="14" spans="1:15" ht="90" customHeight="1">
      <c r="A14" s="1" t="s">
        <v>206</v>
      </c>
      <c r="B14" s="1" t="s">
        <v>18</v>
      </c>
      <c r="C14" s="1" t="s">
        <v>207</v>
      </c>
      <c r="D14" s="1" t="s">
        <v>208</v>
      </c>
      <c r="E14" s="1" t="s">
        <v>209</v>
      </c>
      <c r="F14" s="1" t="s">
        <v>210</v>
      </c>
      <c r="G14" s="1" t="s">
        <v>211</v>
      </c>
      <c r="H14" s="9"/>
      <c r="I14" s="9" t="s">
        <v>24</v>
      </c>
      <c r="J14" s="9"/>
      <c r="K14" s="10"/>
      <c r="L14" s="9"/>
      <c r="M14" s="9"/>
      <c r="N14" s="9"/>
      <c r="O14" s="9" t="s">
        <v>212</v>
      </c>
    </row>
    <row r="15" spans="1:15" ht="94" customHeight="1">
      <c r="A15" s="1" t="s">
        <v>213</v>
      </c>
      <c r="B15" s="1" t="s">
        <v>18</v>
      </c>
      <c r="C15" s="1" t="s">
        <v>214</v>
      </c>
      <c r="D15" s="1" t="s">
        <v>215</v>
      </c>
      <c r="E15" s="1" t="s">
        <v>216</v>
      </c>
      <c r="F15" s="1" t="s">
        <v>217</v>
      </c>
      <c r="G15" s="1" t="s">
        <v>218</v>
      </c>
      <c r="H15" s="9"/>
      <c r="I15" s="9" t="s">
        <v>24</v>
      </c>
      <c r="J15" s="9"/>
      <c r="K15" s="10"/>
      <c r="L15" s="9"/>
      <c r="M15" s="9"/>
      <c r="N15" s="9"/>
      <c r="O15" s="9" t="s">
        <v>219</v>
      </c>
    </row>
    <row r="16" spans="1:15" ht="90" customHeight="1">
      <c r="A16" s="1" t="s">
        <v>220</v>
      </c>
      <c r="B16" s="1" t="s">
        <v>88</v>
      </c>
      <c r="C16" s="1" t="s">
        <v>221</v>
      </c>
      <c r="D16" s="1" t="s">
        <v>222</v>
      </c>
      <c r="E16" s="1" t="s">
        <v>223</v>
      </c>
      <c r="F16" s="1" t="s">
        <v>224</v>
      </c>
      <c r="G16" s="1" t="s">
        <v>225</v>
      </c>
      <c r="H16" s="9"/>
      <c r="I16" s="9" t="s">
        <v>24</v>
      </c>
      <c r="J16" s="9"/>
      <c r="K16" s="10"/>
      <c r="L16" s="9"/>
      <c r="M16" s="9"/>
      <c r="N16" s="9"/>
      <c r="O16" s="9" t="s">
        <v>226</v>
      </c>
    </row>
    <row r="17" spans="1:15" ht="90" customHeight="1">
      <c r="A17" s="1" t="s">
        <v>227</v>
      </c>
      <c r="B17" s="1" t="s">
        <v>88</v>
      </c>
      <c r="C17" s="1" t="s">
        <v>228</v>
      </c>
      <c r="D17" s="1" t="s">
        <v>229</v>
      </c>
      <c r="E17" s="1" t="s">
        <v>230</v>
      </c>
      <c r="F17" s="1" t="s">
        <v>231</v>
      </c>
      <c r="G17" s="1" t="s">
        <v>232</v>
      </c>
      <c r="H17" s="9"/>
      <c r="I17" s="9" t="s">
        <v>24</v>
      </c>
      <c r="J17" s="9"/>
      <c r="K17" s="10"/>
      <c r="L17" s="9"/>
      <c r="M17" s="9"/>
      <c r="N17" s="9"/>
      <c r="O17" s="9" t="s">
        <v>233</v>
      </c>
    </row>
    <row r="18" spans="1:15" ht="90" customHeight="1">
      <c r="A18" s="1" t="s">
        <v>234</v>
      </c>
      <c r="B18" s="1" t="s">
        <v>88</v>
      </c>
      <c r="C18" s="1" t="s">
        <v>235</v>
      </c>
      <c r="D18" s="1" t="s">
        <v>236</v>
      </c>
      <c r="E18" s="1" t="s">
        <v>237</v>
      </c>
      <c r="F18" s="1" t="s">
        <v>238</v>
      </c>
      <c r="G18" s="1" t="s">
        <v>239</v>
      </c>
      <c r="H18" s="9"/>
      <c r="I18" s="9" t="s">
        <v>24</v>
      </c>
      <c r="J18" s="9"/>
      <c r="K18" s="10"/>
      <c r="L18" s="9"/>
      <c r="M18" s="9"/>
      <c r="N18" s="9"/>
      <c r="O18" s="9"/>
    </row>
  </sheetData>
  <mergeCells count="2">
    <mergeCell ref="A1:O1"/>
    <mergeCell ref="A2:O3"/>
  </mergeCells>
  <conditionalFormatting sqref="I6:I18">
    <cfRule type="expression" dxfId="0" priority="1">
      <formula>$I6="Passed"</formula>
    </cfRule>
    <cfRule type="expression" dxfId="0" priority="2">
      <formula>$I6="Delivered"</formula>
    </cfRule>
    <cfRule type="expression" dxfId="1" priority="3">
      <formula>$I6="Failed"</formula>
    </cfRule>
    <cfRule type="expression" dxfId="1" priority="4">
      <formula>$I6="Expired"</formula>
    </cfRule>
    <cfRule type="expression" dxfId="2" priority="5">
      <formula>$I6="Blocked"</formula>
    </cfRule>
    <cfRule type="expression" dxfId="2" priority="6">
      <formula>$I6="Received; receipt pending"</formula>
    </cfRule>
    <cfRule type="expression" dxfId="3" priority="7">
      <formula>$I6="Not Run"</formula>
    </cfRule>
    <cfRule type="expression" dxfId="3" priority="8">
      <formula>$I6="Not Applicable"</formula>
    </cfRule>
  </conditionalFormatting>
  <dataValidations count="2">
    <dataValidation type="list" allowBlank="1" showInputMessage="1" showErrorMessage="1" errorTitle="Choose a listed status" error="Use the drop-down status values." promptTitle="Record actual outcome" prompt="Not Run is the starting state. Add actual observations/evidence before marking Passed." sqref="I6:I18">
      <formula1>"Not Run,Passed,Failed,Blocked,Not Applicable"</formula1>
    </dataValidation>
    <dataValidation type="list" allowBlank="1" showInputMessage="1" showErrorMessage="1" sqref="B6:B18">
      <formula1>"P0,P1,P2"</formula1>
    </dataValidation>
  </dataValidations>
  <pageMargins left="0.25" right="0.25" top="0.4" bottom="0.4" header="0.3" footer="0.3"/>
  <pageSetup paperSize="8" fitToHeight="0" orientation="landscape"/>
  <headerFooter>
    <oddHeader>&amp;LOfflineChat Mesh v2&amp;RDeveloper Tests</oddHeader>
    <oddFooter>&amp;LExperimental — device checks unverified&amp;CPage &amp;P of &amp;N&amp;RRecord actual evidence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C7A16"/>
    <pageSetUpPr fitToPage="1"/>
  </sheetPr>
  <dimension ref="A1:V20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5.7109375" style="1" customWidth="1"/>
    <col min="2" max="2" width="12.7109375" style="1" customWidth="1"/>
    <col min="3" max="3" width="30.7109375" style="1" customWidth="1"/>
    <col min="4" max="4" width="15.7109375" style="1" customWidth="1"/>
    <col min="5" max="5" width="13.7109375" style="1" customWidth="1"/>
    <col min="6" max="6" width="17.7109375" style="1" customWidth="1"/>
    <col min="7" max="7" width="24.7109375" style="1" customWidth="1"/>
    <col min="8" max="8" width="18.7109375" style="1" customWidth="1"/>
    <col min="9" max="11" width="25.7109375" style="1" customWidth="1"/>
    <col min="12" max="13" width="19.7109375" style="1" customWidth="1"/>
    <col min="14" max="14" width="28.7109375" style="1" customWidth="1"/>
    <col min="15" max="15" width="52.7109375" style="1" customWidth="1"/>
    <col min="16" max="16" width="17.7109375" style="1" customWidth="1"/>
    <col min="17" max="18" width="24.7109375" style="1" customWidth="1"/>
    <col min="19" max="20" width="15.7109375" style="1" customWidth="1"/>
    <col min="21" max="21" width="26.7109375" style="1" customWidth="1"/>
    <col min="22" max="22" width="50.7109375" style="1" customWidth="1"/>
  </cols>
  <sheetData>
    <row r="1" spans="1:22" ht="40" customHeight="1">
      <c r="A1" s="2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4" customHeight="1">
      <c r="A2" s="3" t="s">
        <v>268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5" spans="1:22" ht="32" customHeight="1">
      <c r="A5" s="4" t="s">
        <v>269</v>
      </c>
      <c r="B5" s="4" t="s">
        <v>270</v>
      </c>
      <c r="C5" s="4" t="s">
        <v>271</v>
      </c>
      <c r="D5" s="4" t="s">
        <v>272</v>
      </c>
      <c r="E5" s="4" t="s">
        <v>273</v>
      </c>
      <c r="F5" s="4" t="s">
        <v>274</v>
      </c>
      <c r="G5" s="4" t="s">
        <v>275</v>
      </c>
      <c r="H5" s="4" t="s">
        <v>276</v>
      </c>
      <c r="I5" s="4" t="s">
        <v>277</v>
      </c>
      <c r="J5" s="4" t="s">
        <v>278</v>
      </c>
      <c r="K5" s="4" t="s">
        <v>279</v>
      </c>
      <c r="L5" s="4" t="s">
        <v>280</v>
      </c>
      <c r="M5" s="4" t="s">
        <v>281</v>
      </c>
      <c r="N5" s="4" t="s">
        <v>282</v>
      </c>
      <c r="O5" s="4" t="s">
        <v>283</v>
      </c>
      <c r="P5" s="4" t="s">
        <v>284</v>
      </c>
      <c r="Q5" s="4" t="s">
        <v>285</v>
      </c>
      <c r="R5" s="4" t="s">
        <v>286</v>
      </c>
      <c r="S5" s="4" t="s">
        <v>287</v>
      </c>
      <c r="T5" s="4" t="s">
        <v>288</v>
      </c>
      <c r="U5" s="4" t="s">
        <v>289</v>
      </c>
      <c r="V5" s="4" t="s">
        <v>290</v>
      </c>
    </row>
    <row r="6" spans="1:22" ht="32" customHeight="1">
      <c r="A6" s="1" t="s">
        <v>291</v>
      </c>
      <c r="B6" s="9"/>
      <c r="C6" s="9"/>
      <c r="D6" s="9"/>
      <c r="E6" s="9"/>
      <c r="F6" s="9"/>
      <c r="G6" s="9"/>
      <c r="H6" s="9"/>
      <c r="I6" s="11"/>
      <c r="J6" s="11"/>
      <c r="K6" s="11"/>
      <c r="L6" s="12">
        <f>IF(AND(ISNUMBER(I6),ISNUMBER(J6),J6&gt;=I6),(J6-I6)*1440,"")</f>
        <v/>
      </c>
      <c r="M6" s="12">
        <f>IF(AND(ISNUMBER(I6),ISNUMBER(K6),K6&gt;=I6),(K6-I6)*1440,"")</f>
        <v/>
      </c>
      <c r="N6" s="9" t="s">
        <v>24</v>
      </c>
      <c r="O6" s="1">
        <f>IF(N6="Not Run","",IF(AND(OR(N6="Delivered",N6="Received; receipt pending"),NOT(ISNUMBER(L6))),"Enter valid send and arrival timestamps",IF(AND(N6="Delivered",NOT(ISNUMBER(M6))),"Enter valid sender Delivered timestamp",IF(AND(ISNUMBER(J6),ISNUMBER(K6),K6&lt;J6),"Check clock order: receipt precedes arrival",""))))</f>
        <v/>
      </c>
      <c r="P6" s="9"/>
      <c r="Q6" s="9"/>
      <c r="R6" s="9"/>
      <c r="S6" s="9"/>
      <c r="T6" s="9"/>
      <c r="U6" s="9"/>
      <c r="V6" s="9"/>
    </row>
    <row r="7" spans="1:22" ht="32" customHeight="1">
      <c r="A7" s="1" t="s">
        <v>292</v>
      </c>
      <c r="B7" s="9"/>
      <c r="C7" s="9"/>
      <c r="D7" s="9"/>
      <c r="E7" s="9"/>
      <c r="F7" s="9"/>
      <c r="G7" s="9"/>
      <c r="H7" s="9"/>
      <c r="I7" s="11"/>
      <c r="J7" s="11"/>
      <c r="K7" s="11"/>
      <c r="L7" s="12">
        <f>IF(AND(ISNUMBER(I7),ISNUMBER(J7),J7&gt;=I7),(J7-I7)*1440,"")</f>
        <v/>
      </c>
      <c r="M7" s="12">
        <f>IF(AND(ISNUMBER(I7),ISNUMBER(K7),K7&gt;=I7),(K7-I7)*1440,"")</f>
        <v/>
      </c>
      <c r="N7" s="9" t="s">
        <v>24</v>
      </c>
      <c r="O7" s="1">
        <f>IF(N7="Not Run","",IF(AND(OR(N7="Delivered",N7="Received; receipt pending"),NOT(ISNUMBER(L7))),"Enter valid send and arrival timestamps",IF(AND(N7="Delivered",NOT(ISNUMBER(M7))),"Enter valid sender Delivered timestamp",IF(AND(ISNUMBER(J7),ISNUMBER(K7),K7&lt;J7),"Check clock order: receipt precedes arrival",""))))</f>
        <v/>
      </c>
      <c r="P7" s="9"/>
      <c r="Q7" s="9"/>
      <c r="R7" s="9"/>
      <c r="S7" s="9"/>
      <c r="T7" s="9"/>
      <c r="U7" s="9"/>
      <c r="V7" s="9"/>
    </row>
    <row r="8" spans="1:22" ht="32" customHeight="1">
      <c r="A8" s="1" t="s">
        <v>293</v>
      </c>
      <c r="B8" s="9"/>
      <c r="C8" s="9"/>
      <c r="D8" s="9"/>
      <c r="E8" s="9"/>
      <c r="F8" s="9"/>
      <c r="G8" s="9"/>
      <c r="H8" s="9"/>
      <c r="I8" s="11"/>
      <c r="J8" s="11"/>
      <c r="K8" s="11"/>
      <c r="L8" s="12">
        <f>IF(AND(ISNUMBER(I8),ISNUMBER(J8),J8&gt;=I8),(J8-I8)*1440,"")</f>
        <v/>
      </c>
      <c r="M8" s="12">
        <f>IF(AND(ISNUMBER(I8),ISNUMBER(K8),K8&gt;=I8),(K8-I8)*1440,"")</f>
        <v/>
      </c>
      <c r="N8" s="9" t="s">
        <v>24</v>
      </c>
      <c r="O8" s="1">
        <f>IF(N8="Not Run","",IF(AND(OR(N8="Delivered",N8="Received; receipt pending"),NOT(ISNUMBER(L8))),"Enter valid send and arrival timestamps",IF(AND(N8="Delivered",NOT(ISNUMBER(M8))),"Enter valid sender Delivered timestamp",IF(AND(ISNUMBER(J8),ISNUMBER(K8),K8&lt;J8),"Check clock order: receipt precedes arrival",""))))</f>
        <v/>
      </c>
      <c r="P8" s="9"/>
      <c r="Q8" s="9"/>
      <c r="R8" s="9"/>
      <c r="S8" s="9"/>
      <c r="T8" s="9"/>
      <c r="U8" s="9"/>
      <c r="V8" s="9"/>
    </row>
    <row r="9" spans="1:22" ht="32" customHeight="1">
      <c r="A9" s="1" t="s">
        <v>294</v>
      </c>
      <c r="B9" s="9"/>
      <c r="C9" s="9"/>
      <c r="D9" s="9"/>
      <c r="E9" s="9"/>
      <c r="F9" s="9"/>
      <c r="G9" s="9"/>
      <c r="H9" s="9"/>
      <c r="I9" s="11"/>
      <c r="J9" s="11"/>
      <c r="K9" s="11"/>
      <c r="L9" s="12">
        <f>IF(AND(ISNUMBER(I9),ISNUMBER(J9),J9&gt;=I9),(J9-I9)*1440,"")</f>
        <v/>
      </c>
      <c r="M9" s="12">
        <f>IF(AND(ISNUMBER(I9),ISNUMBER(K9),K9&gt;=I9),(K9-I9)*1440,"")</f>
        <v/>
      </c>
      <c r="N9" s="9" t="s">
        <v>24</v>
      </c>
      <c r="O9" s="1">
        <f>IF(N9="Not Run","",IF(AND(OR(N9="Delivered",N9="Received; receipt pending"),NOT(ISNUMBER(L9))),"Enter valid send and arrival timestamps",IF(AND(N9="Delivered",NOT(ISNUMBER(M9))),"Enter valid sender Delivered timestamp",IF(AND(ISNUMBER(J9),ISNUMBER(K9),K9&lt;J9),"Check clock order: receipt precedes arrival",""))))</f>
        <v/>
      </c>
      <c r="P9" s="9"/>
      <c r="Q9" s="9"/>
      <c r="R9" s="9"/>
      <c r="S9" s="9"/>
      <c r="T9" s="9"/>
      <c r="U9" s="9"/>
      <c r="V9" s="9"/>
    </row>
    <row r="10" spans="1:22" ht="32" customHeight="1">
      <c r="A10" s="1" t="s">
        <v>295</v>
      </c>
      <c r="B10" s="9"/>
      <c r="C10" s="9"/>
      <c r="D10" s="9"/>
      <c r="E10" s="9"/>
      <c r="F10" s="9"/>
      <c r="G10" s="9"/>
      <c r="H10" s="9"/>
      <c r="I10" s="11"/>
      <c r="J10" s="11"/>
      <c r="K10" s="11"/>
      <c r="L10" s="12">
        <f>IF(AND(ISNUMBER(I10),ISNUMBER(J10),J10&gt;=I10),(J10-I10)*1440,"")</f>
        <v/>
      </c>
      <c r="M10" s="12">
        <f>IF(AND(ISNUMBER(I10),ISNUMBER(K10),K10&gt;=I10),(K10-I10)*1440,"")</f>
        <v/>
      </c>
      <c r="N10" s="9" t="s">
        <v>24</v>
      </c>
      <c r="O10" s="1">
        <f>IF(N10="Not Run","",IF(AND(OR(N10="Delivered",N10="Received; receipt pending"),NOT(ISNUMBER(L10))),"Enter valid send and arrival timestamps",IF(AND(N10="Delivered",NOT(ISNUMBER(M10))),"Enter valid sender Delivered timestamp",IF(AND(ISNUMBER(J10),ISNUMBER(K10),K10&lt;J10),"Check clock order: receipt precedes arrival",""))))</f>
        <v/>
      </c>
      <c r="P10" s="9"/>
      <c r="Q10" s="9"/>
      <c r="R10" s="9"/>
      <c r="S10" s="9"/>
      <c r="T10" s="9"/>
      <c r="U10" s="9"/>
      <c r="V10" s="9"/>
    </row>
    <row r="11" spans="1:22" ht="32" customHeight="1">
      <c r="A11" s="1" t="s">
        <v>296</v>
      </c>
      <c r="B11" s="9"/>
      <c r="C11" s="9"/>
      <c r="D11" s="9"/>
      <c r="E11" s="9"/>
      <c r="F11" s="9"/>
      <c r="G11" s="9"/>
      <c r="H11" s="9"/>
      <c r="I11" s="11"/>
      <c r="J11" s="11"/>
      <c r="K11" s="11"/>
      <c r="L11" s="12">
        <f>IF(AND(ISNUMBER(I11),ISNUMBER(J11),J11&gt;=I11),(J11-I11)*1440,"")</f>
        <v/>
      </c>
      <c r="M11" s="12">
        <f>IF(AND(ISNUMBER(I11),ISNUMBER(K11),K11&gt;=I11),(K11-I11)*1440,"")</f>
        <v/>
      </c>
      <c r="N11" s="9" t="s">
        <v>24</v>
      </c>
      <c r="O11" s="1">
        <f>IF(N11="Not Run","",IF(AND(OR(N11="Delivered",N11="Received; receipt pending"),NOT(ISNUMBER(L11))),"Enter valid send and arrival timestamps",IF(AND(N11="Delivered",NOT(ISNUMBER(M11))),"Enter valid sender Delivered timestamp",IF(AND(ISNUMBER(J11),ISNUMBER(K11),K11&lt;J11),"Check clock order: receipt precedes arrival",""))))</f>
        <v/>
      </c>
      <c r="P11" s="9"/>
      <c r="Q11" s="9"/>
      <c r="R11" s="9"/>
      <c r="S11" s="9"/>
      <c r="T11" s="9"/>
      <c r="U11" s="9"/>
      <c r="V11" s="9"/>
    </row>
    <row r="12" spans="1:22" ht="32" customHeight="1">
      <c r="A12" s="1" t="s">
        <v>297</v>
      </c>
      <c r="B12" s="9"/>
      <c r="C12" s="9"/>
      <c r="D12" s="9"/>
      <c r="E12" s="9"/>
      <c r="F12" s="9"/>
      <c r="G12" s="9"/>
      <c r="H12" s="9"/>
      <c r="I12" s="11"/>
      <c r="J12" s="11"/>
      <c r="K12" s="11"/>
      <c r="L12" s="12">
        <f>IF(AND(ISNUMBER(I12),ISNUMBER(J12),J12&gt;=I12),(J12-I12)*1440,"")</f>
        <v/>
      </c>
      <c r="M12" s="12">
        <f>IF(AND(ISNUMBER(I12),ISNUMBER(K12),K12&gt;=I12),(K12-I12)*1440,"")</f>
        <v/>
      </c>
      <c r="N12" s="9" t="s">
        <v>24</v>
      </c>
      <c r="O12" s="1">
        <f>IF(N12="Not Run","",IF(AND(OR(N12="Delivered",N12="Received; receipt pending"),NOT(ISNUMBER(L12))),"Enter valid send and arrival timestamps",IF(AND(N12="Delivered",NOT(ISNUMBER(M12))),"Enter valid sender Delivered timestamp",IF(AND(ISNUMBER(J12),ISNUMBER(K12),K12&lt;J12),"Check clock order: receipt precedes arrival",""))))</f>
        <v/>
      </c>
      <c r="P12" s="9"/>
      <c r="Q12" s="9"/>
      <c r="R12" s="9"/>
      <c r="S12" s="9"/>
      <c r="T12" s="9"/>
      <c r="U12" s="9"/>
      <c r="V12" s="9"/>
    </row>
    <row r="13" spans="1:22" ht="32" customHeight="1">
      <c r="A13" s="1" t="s">
        <v>298</v>
      </c>
      <c r="B13" s="9"/>
      <c r="C13" s="9"/>
      <c r="D13" s="9"/>
      <c r="E13" s="9"/>
      <c r="F13" s="9"/>
      <c r="G13" s="9"/>
      <c r="H13" s="9"/>
      <c r="I13" s="11"/>
      <c r="J13" s="11"/>
      <c r="K13" s="11"/>
      <c r="L13" s="12">
        <f>IF(AND(ISNUMBER(I13),ISNUMBER(J13),J13&gt;=I13),(J13-I13)*1440,"")</f>
        <v/>
      </c>
      <c r="M13" s="12">
        <f>IF(AND(ISNUMBER(I13),ISNUMBER(K13),K13&gt;=I13),(K13-I13)*1440,"")</f>
        <v/>
      </c>
      <c r="N13" s="9" t="s">
        <v>24</v>
      </c>
      <c r="O13" s="1">
        <f>IF(N13="Not Run","",IF(AND(OR(N13="Delivered",N13="Received; receipt pending"),NOT(ISNUMBER(L13))),"Enter valid send and arrival timestamps",IF(AND(N13="Delivered",NOT(ISNUMBER(M13))),"Enter valid sender Delivered timestamp",IF(AND(ISNUMBER(J13),ISNUMBER(K13),K13&lt;J13),"Check clock order: receipt precedes arrival",""))))</f>
        <v/>
      </c>
      <c r="P13" s="9"/>
      <c r="Q13" s="9"/>
      <c r="R13" s="9"/>
      <c r="S13" s="9"/>
      <c r="T13" s="9"/>
      <c r="U13" s="9"/>
      <c r="V13" s="9"/>
    </row>
    <row r="14" spans="1:22" ht="32" customHeight="1">
      <c r="A14" s="1" t="s">
        <v>299</v>
      </c>
      <c r="B14" s="9"/>
      <c r="C14" s="9"/>
      <c r="D14" s="9"/>
      <c r="E14" s="9"/>
      <c r="F14" s="9"/>
      <c r="G14" s="9"/>
      <c r="H14" s="9"/>
      <c r="I14" s="11"/>
      <c r="J14" s="11"/>
      <c r="K14" s="11"/>
      <c r="L14" s="12">
        <f>IF(AND(ISNUMBER(I14),ISNUMBER(J14),J14&gt;=I14),(J14-I14)*1440,"")</f>
        <v/>
      </c>
      <c r="M14" s="12">
        <f>IF(AND(ISNUMBER(I14),ISNUMBER(K14),K14&gt;=I14),(K14-I14)*1440,"")</f>
        <v/>
      </c>
      <c r="N14" s="9" t="s">
        <v>24</v>
      </c>
      <c r="O14" s="1">
        <f>IF(N14="Not Run","",IF(AND(OR(N14="Delivered",N14="Received; receipt pending"),NOT(ISNUMBER(L14))),"Enter valid send and arrival timestamps",IF(AND(N14="Delivered",NOT(ISNUMBER(M14))),"Enter valid sender Delivered timestamp",IF(AND(ISNUMBER(J14),ISNUMBER(K14),K14&lt;J14),"Check clock order: receipt precedes arrival",""))))</f>
        <v/>
      </c>
      <c r="P14" s="9"/>
      <c r="Q14" s="9"/>
      <c r="R14" s="9"/>
      <c r="S14" s="9"/>
      <c r="T14" s="9"/>
      <c r="U14" s="9"/>
      <c r="V14" s="9"/>
    </row>
    <row r="15" spans="1:22" ht="32" customHeight="1">
      <c r="A15" s="1" t="s">
        <v>300</v>
      </c>
      <c r="B15" s="9"/>
      <c r="C15" s="9"/>
      <c r="D15" s="9"/>
      <c r="E15" s="9"/>
      <c r="F15" s="9"/>
      <c r="G15" s="9"/>
      <c r="H15" s="9"/>
      <c r="I15" s="11"/>
      <c r="J15" s="11"/>
      <c r="K15" s="11"/>
      <c r="L15" s="12">
        <f>IF(AND(ISNUMBER(I15),ISNUMBER(J15),J15&gt;=I15),(J15-I15)*1440,"")</f>
        <v/>
      </c>
      <c r="M15" s="12">
        <f>IF(AND(ISNUMBER(I15),ISNUMBER(K15),K15&gt;=I15),(K15-I15)*1440,"")</f>
        <v/>
      </c>
      <c r="N15" s="9" t="s">
        <v>24</v>
      </c>
      <c r="O15" s="1">
        <f>IF(N15="Not Run","",IF(AND(OR(N15="Delivered",N15="Received; receipt pending"),NOT(ISNUMBER(L15))),"Enter valid send and arrival timestamps",IF(AND(N15="Delivered",NOT(ISNUMBER(M15))),"Enter valid sender Delivered timestamp",IF(AND(ISNUMBER(J15),ISNUMBER(K15),K15&lt;J15),"Check clock order: receipt precedes arrival",""))))</f>
        <v/>
      </c>
      <c r="P15" s="9"/>
      <c r="Q15" s="9"/>
      <c r="R15" s="9"/>
      <c r="S15" s="9"/>
      <c r="T15" s="9"/>
      <c r="U15" s="9"/>
      <c r="V15" s="9"/>
    </row>
    <row r="16" spans="1:22" ht="32" customHeight="1">
      <c r="A16" s="1" t="s">
        <v>301</v>
      </c>
      <c r="B16" s="9"/>
      <c r="C16" s="9"/>
      <c r="D16" s="9"/>
      <c r="E16" s="9"/>
      <c r="F16" s="9"/>
      <c r="G16" s="9"/>
      <c r="H16" s="9"/>
      <c r="I16" s="11"/>
      <c r="J16" s="11"/>
      <c r="K16" s="11"/>
      <c r="L16" s="12">
        <f>IF(AND(ISNUMBER(I16),ISNUMBER(J16),J16&gt;=I16),(J16-I16)*1440,"")</f>
        <v/>
      </c>
      <c r="M16" s="12">
        <f>IF(AND(ISNUMBER(I16),ISNUMBER(K16),K16&gt;=I16),(K16-I16)*1440,"")</f>
        <v/>
      </c>
      <c r="N16" s="9" t="s">
        <v>24</v>
      </c>
      <c r="O16" s="1">
        <f>IF(N16="Not Run","",IF(AND(OR(N16="Delivered",N16="Received; receipt pending"),NOT(ISNUMBER(L16))),"Enter valid send and arrival timestamps",IF(AND(N16="Delivered",NOT(ISNUMBER(M16))),"Enter valid sender Delivered timestamp",IF(AND(ISNUMBER(J16),ISNUMBER(K16),K16&lt;J16),"Check clock order: receipt precedes arrival",""))))</f>
        <v/>
      </c>
      <c r="P16" s="9"/>
      <c r="Q16" s="9"/>
      <c r="R16" s="9"/>
      <c r="S16" s="9"/>
      <c r="T16" s="9"/>
      <c r="U16" s="9"/>
      <c r="V16" s="9"/>
    </row>
    <row r="17" spans="1:22" ht="32" customHeight="1">
      <c r="A17" s="1" t="s">
        <v>302</v>
      </c>
      <c r="B17" s="9"/>
      <c r="C17" s="9"/>
      <c r="D17" s="9"/>
      <c r="E17" s="9"/>
      <c r="F17" s="9"/>
      <c r="G17" s="9"/>
      <c r="H17" s="9"/>
      <c r="I17" s="11"/>
      <c r="J17" s="11"/>
      <c r="K17" s="11"/>
      <c r="L17" s="12">
        <f>IF(AND(ISNUMBER(I17),ISNUMBER(J17),J17&gt;=I17),(J17-I17)*1440,"")</f>
        <v/>
      </c>
      <c r="M17" s="12">
        <f>IF(AND(ISNUMBER(I17),ISNUMBER(K17),K17&gt;=I17),(K17-I17)*1440,"")</f>
        <v/>
      </c>
      <c r="N17" s="9" t="s">
        <v>24</v>
      </c>
      <c r="O17" s="1">
        <f>IF(N17="Not Run","",IF(AND(OR(N17="Delivered",N17="Received; receipt pending"),NOT(ISNUMBER(L17))),"Enter valid send and arrival timestamps",IF(AND(N17="Delivered",NOT(ISNUMBER(M17))),"Enter valid sender Delivered timestamp",IF(AND(ISNUMBER(J17),ISNUMBER(K17),K17&lt;J17),"Check clock order: receipt precedes arrival",""))))</f>
        <v/>
      </c>
      <c r="P17" s="9"/>
      <c r="Q17" s="9"/>
      <c r="R17" s="9"/>
      <c r="S17" s="9"/>
      <c r="T17" s="9"/>
      <c r="U17" s="9"/>
      <c r="V17" s="9"/>
    </row>
    <row r="18" spans="1:22" ht="32" customHeight="1">
      <c r="A18" s="1" t="s">
        <v>303</v>
      </c>
      <c r="B18" s="9"/>
      <c r="C18" s="9"/>
      <c r="D18" s="9"/>
      <c r="E18" s="9"/>
      <c r="F18" s="9"/>
      <c r="G18" s="9"/>
      <c r="H18" s="9"/>
      <c r="I18" s="11"/>
      <c r="J18" s="11"/>
      <c r="K18" s="11"/>
      <c r="L18" s="12">
        <f>IF(AND(ISNUMBER(I18),ISNUMBER(J18),J18&gt;=I18),(J18-I18)*1440,"")</f>
        <v/>
      </c>
      <c r="M18" s="12">
        <f>IF(AND(ISNUMBER(I18),ISNUMBER(K18),K18&gt;=I18),(K18-I18)*1440,"")</f>
        <v/>
      </c>
      <c r="N18" s="9" t="s">
        <v>24</v>
      </c>
      <c r="O18" s="1">
        <f>IF(N18="Not Run","",IF(AND(OR(N18="Delivered",N18="Received; receipt pending"),NOT(ISNUMBER(L18))),"Enter valid send and arrival timestamps",IF(AND(N18="Delivered",NOT(ISNUMBER(M18))),"Enter valid sender Delivered timestamp",IF(AND(ISNUMBER(J18),ISNUMBER(K18),K18&lt;J18),"Check clock order: receipt precedes arrival",""))))</f>
        <v/>
      </c>
      <c r="P18" s="9"/>
      <c r="Q18" s="9"/>
      <c r="R18" s="9"/>
      <c r="S18" s="9"/>
      <c r="T18" s="9"/>
      <c r="U18" s="9"/>
      <c r="V18" s="9"/>
    </row>
    <row r="19" spans="1:22" ht="32" customHeight="1">
      <c r="A19" s="1" t="s">
        <v>304</v>
      </c>
      <c r="B19" s="9"/>
      <c r="C19" s="9"/>
      <c r="D19" s="9"/>
      <c r="E19" s="9"/>
      <c r="F19" s="9"/>
      <c r="G19" s="9"/>
      <c r="H19" s="9"/>
      <c r="I19" s="11"/>
      <c r="J19" s="11"/>
      <c r="K19" s="11"/>
      <c r="L19" s="12">
        <f>IF(AND(ISNUMBER(I19),ISNUMBER(J19),J19&gt;=I19),(J19-I19)*1440,"")</f>
        <v/>
      </c>
      <c r="M19" s="12">
        <f>IF(AND(ISNUMBER(I19),ISNUMBER(K19),K19&gt;=I19),(K19-I19)*1440,"")</f>
        <v/>
      </c>
      <c r="N19" s="9" t="s">
        <v>24</v>
      </c>
      <c r="O19" s="1">
        <f>IF(N19="Not Run","",IF(AND(OR(N19="Delivered",N19="Received; receipt pending"),NOT(ISNUMBER(L19))),"Enter valid send and arrival timestamps",IF(AND(N19="Delivered",NOT(ISNUMBER(M19))),"Enter valid sender Delivered timestamp",IF(AND(ISNUMBER(J19),ISNUMBER(K19),K19&lt;J19),"Check clock order: receipt precedes arrival",""))))</f>
        <v/>
      </c>
      <c r="P19" s="9"/>
      <c r="Q19" s="9"/>
      <c r="R19" s="9"/>
      <c r="S19" s="9"/>
      <c r="T19" s="9"/>
      <c r="U19" s="9"/>
      <c r="V19" s="9"/>
    </row>
    <row r="20" spans="1:22" ht="32" customHeight="1">
      <c r="A20" s="1" t="s">
        <v>305</v>
      </c>
      <c r="B20" s="9"/>
      <c r="C20" s="9"/>
      <c r="D20" s="9"/>
      <c r="E20" s="9"/>
      <c r="F20" s="9"/>
      <c r="G20" s="9"/>
      <c r="H20" s="9"/>
      <c r="I20" s="11"/>
      <c r="J20" s="11"/>
      <c r="K20" s="11"/>
      <c r="L20" s="12">
        <f>IF(AND(ISNUMBER(I20),ISNUMBER(J20),J20&gt;=I20),(J20-I20)*1440,"")</f>
        <v/>
      </c>
      <c r="M20" s="12">
        <f>IF(AND(ISNUMBER(I20),ISNUMBER(K20),K20&gt;=I20),(K20-I20)*1440,"")</f>
        <v/>
      </c>
      <c r="N20" s="9" t="s">
        <v>24</v>
      </c>
      <c r="O20" s="1">
        <f>IF(N20="Not Run","",IF(AND(OR(N20="Delivered",N20="Received; receipt pending"),NOT(ISNUMBER(L20))),"Enter valid send and arrival timestamps",IF(AND(N20="Delivered",NOT(ISNUMBER(M20))),"Enter valid sender Delivered timestamp",IF(AND(ISNUMBER(J20),ISNUMBER(K20),K20&lt;J20),"Check clock order: receipt precedes arrival",""))))</f>
        <v/>
      </c>
      <c r="P20" s="9"/>
      <c r="Q20" s="9"/>
      <c r="R20" s="9"/>
      <c r="S20" s="9"/>
      <c r="T20" s="9"/>
      <c r="U20" s="9"/>
      <c r="V20" s="9"/>
    </row>
    <row r="21" spans="1:22" ht="32" customHeight="1">
      <c r="A21" s="1" t="s">
        <v>306</v>
      </c>
      <c r="B21" s="9"/>
      <c r="C21" s="9"/>
      <c r="D21" s="9"/>
      <c r="E21" s="9"/>
      <c r="F21" s="9"/>
      <c r="G21" s="9"/>
      <c r="H21" s="9"/>
      <c r="I21" s="11"/>
      <c r="J21" s="11"/>
      <c r="K21" s="11"/>
      <c r="L21" s="12">
        <f>IF(AND(ISNUMBER(I21),ISNUMBER(J21),J21&gt;=I21),(J21-I21)*1440,"")</f>
        <v/>
      </c>
      <c r="M21" s="12">
        <f>IF(AND(ISNUMBER(I21),ISNUMBER(K21),K21&gt;=I21),(K21-I21)*1440,"")</f>
        <v/>
      </c>
      <c r="N21" s="9" t="s">
        <v>24</v>
      </c>
      <c r="O21" s="1">
        <f>IF(N21="Not Run","",IF(AND(OR(N21="Delivered",N21="Received; receipt pending"),NOT(ISNUMBER(L21))),"Enter valid send and arrival timestamps",IF(AND(N21="Delivered",NOT(ISNUMBER(M21))),"Enter valid sender Delivered timestamp",IF(AND(ISNUMBER(J21),ISNUMBER(K21),K21&lt;J21),"Check clock order: receipt precedes arrival",""))))</f>
        <v/>
      </c>
      <c r="P21" s="9"/>
      <c r="Q21" s="9"/>
      <c r="R21" s="9"/>
      <c r="S21" s="9"/>
      <c r="T21" s="9"/>
      <c r="U21" s="9"/>
      <c r="V21" s="9"/>
    </row>
    <row r="22" spans="1:22" ht="32" customHeight="1">
      <c r="A22" s="1" t="s">
        <v>307</v>
      </c>
      <c r="B22" s="9"/>
      <c r="C22" s="9"/>
      <c r="D22" s="9"/>
      <c r="E22" s="9"/>
      <c r="F22" s="9"/>
      <c r="G22" s="9"/>
      <c r="H22" s="9"/>
      <c r="I22" s="11"/>
      <c r="J22" s="11"/>
      <c r="K22" s="11"/>
      <c r="L22" s="12">
        <f>IF(AND(ISNUMBER(I22),ISNUMBER(J22),J22&gt;=I22),(J22-I22)*1440,"")</f>
        <v/>
      </c>
      <c r="M22" s="12">
        <f>IF(AND(ISNUMBER(I22),ISNUMBER(K22),K22&gt;=I22),(K22-I22)*1440,"")</f>
        <v/>
      </c>
      <c r="N22" s="9" t="s">
        <v>24</v>
      </c>
      <c r="O22" s="1">
        <f>IF(N22="Not Run","",IF(AND(OR(N22="Delivered",N22="Received; receipt pending"),NOT(ISNUMBER(L22))),"Enter valid send and arrival timestamps",IF(AND(N22="Delivered",NOT(ISNUMBER(M22))),"Enter valid sender Delivered timestamp",IF(AND(ISNUMBER(J22),ISNUMBER(K22),K22&lt;J22),"Check clock order: receipt precedes arrival",""))))</f>
        <v/>
      </c>
      <c r="P22" s="9"/>
      <c r="Q22" s="9"/>
      <c r="R22" s="9"/>
      <c r="S22" s="9"/>
      <c r="T22" s="9"/>
      <c r="U22" s="9"/>
      <c r="V22" s="9"/>
    </row>
    <row r="23" spans="1:22" ht="32" customHeight="1">
      <c r="A23" s="1" t="s">
        <v>308</v>
      </c>
      <c r="B23" s="9"/>
      <c r="C23" s="9"/>
      <c r="D23" s="9"/>
      <c r="E23" s="9"/>
      <c r="F23" s="9"/>
      <c r="G23" s="9"/>
      <c r="H23" s="9"/>
      <c r="I23" s="11"/>
      <c r="J23" s="11"/>
      <c r="K23" s="11"/>
      <c r="L23" s="12">
        <f>IF(AND(ISNUMBER(I23),ISNUMBER(J23),J23&gt;=I23),(J23-I23)*1440,"")</f>
        <v/>
      </c>
      <c r="M23" s="12">
        <f>IF(AND(ISNUMBER(I23),ISNUMBER(K23),K23&gt;=I23),(K23-I23)*1440,"")</f>
        <v/>
      </c>
      <c r="N23" s="9" t="s">
        <v>24</v>
      </c>
      <c r="O23" s="1">
        <f>IF(N23="Not Run","",IF(AND(OR(N23="Delivered",N23="Received; receipt pending"),NOT(ISNUMBER(L23))),"Enter valid send and arrival timestamps",IF(AND(N23="Delivered",NOT(ISNUMBER(M23))),"Enter valid sender Delivered timestamp",IF(AND(ISNUMBER(J23),ISNUMBER(K23),K23&lt;J23),"Check clock order: receipt precedes arrival",""))))</f>
        <v/>
      </c>
      <c r="P23" s="9"/>
      <c r="Q23" s="9"/>
      <c r="R23" s="9"/>
      <c r="S23" s="9"/>
      <c r="T23" s="9"/>
      <c r="U23" s="9"/>
      <c r="V23" s="9"/>
    </row>
    <row r="24" spans="1:22" ht="32" customHeight="1">
      <c r="A24" s="1" t="s">
        <v>309</v>
      </c>
      <c r="B24" s="9"/>
      <c r="C24" s="9"/>
      <c r="D24" s="9"/>
      <c r="E24" s="9"/>
      <c r="F24" s="9"/>
      <c r="G24" s="9"/>
      <c r="H24" s="9"/>
      <c r="I24" s="11"/>
      <c r="J24" s="11"/>
      <c r="K24" s="11"/>
      <c r="L24" s="12">
        <f>IF(AND(ISNUMBER(I24),ISNUMBER(J24),J24&gt;=I24),(J24-I24)*1440,"")</f>
        <v/>
      </c>
      <c r="M24" s="12">
        <f>IF(AND(ISNUMBER(I24),ISNUMBER(K24),K24&gt;=I24),(K24-I24)*1440,"")</f>
        <v/>
      </c>
      <c r="N24" s="9" t="s">
        <v>24</v>
      </c>
      <c r="O24" s="1">
        <f>IF(N24="Not Run","",IF(AND(OR(N24="Delivered",N24="Received; receipt pending"),NOT(ISNUMBER(L24))),"Enter valid send and arrival timestamps",IF(AND(N24="Delivered",NOT(ISNUMBER(M24))),"Enter valid sender Delivered timestamp",IF(AND(ISNUMBER(J24),ISNUMBER(K24),K24&lt;J24),"Check clock order: receipt precedes arrival",""))))</f>
        <v/>
      </c>
      <c r="P24" s="9"/>
      <c r="Q24" s="9"/>
      <c r="R24" s="9"/>
      <c r="S24" s="9"/>
      <c r="T24" s="9"/>
      <c r="U24" s="9"/>
      <c r="V24" s="9"/>
    </row>
    <row r="25" spans="1:22" ht="32" customHeight="1">
      <c r="A25" s="1" t="s">
        <v>310</v>
      </c>
      <c r="B25" s="9"/>
      <c r="C25" s="9"/>
      <c r="D25" s="9"/>
      <c r="E25" s="9"/>
      <c r="F25" s="9"/>
      <c r="G25" s="9"/>
      <c r="H25" s="9"/>
      <c r="I25" s="11"/>
      <c r="J25" s="11"/>
      <c r="K25" s="11"/>
      <c r="L25" s="12">
        <f>IF(AND(ISNUMBER(I25),ISNUMBER(J25),J25&gt;=I25),(J25-I25)*1440,"")</f>
        <v/>
      </c>
      <c r="M25" s="12">
        <f>IF(AND(ISNUMBER(I25),ISNUMBER(K25),K25&gt;=I25),(K25-I25)*1440,"")</f>
        <v/>
      </c>
      <c r="N25" s="9" t="s">
        <v>24</v>
      </c>
      <c r="O25" s="1">
        <f>IF(N25="Not Run","",IF(AND(OR(N25="Delivered",N25="Received; receipt pending"),NOT(ISNUMBER(L25))),"Enter valid send and arrival timestamps",IF(AND(N25="Delivered",NOT(ISNUMBER(M25))),"Enter valid sender Delivered timestamp",IF(AND(ISNUMBER(J25),ISNUMBER(K25),K25&lt;J25),"Check clock order: receipt precedes arrival",""))))</f>
        <v/>
      </c>
      <c r="P25" s="9"/>
      <c r="Q25" s="9"/>
      <c r="R25" s="9"/>
      <c r="S25" s="9"/>
      <c r="T25" s="9"/>
      <c r="U25" s="9"/>
      <c r="V25" s="9"/>
    </row>
    <row r="26" spans="1:22" ht="32" customHeight="1">
      <c r="A26" s="1" t="s">
        <v>311</v>
      </c>
      <c r="B26" s="9"/>
      <c r="C26" s="9"/>
      <c r="D26" s="9"/>
      <c r="E26" s="9"/>
      <c r="F26" s="9"/>
      <c r="G26" s="9"/>
      <c r="H26" s="9"/>
      <c r="I26" s="11"/>
      <c r="J26" s="11"/>
      <c r="K26" s="11"/>
      <c r="L26" s="12">
        <f>IF(AND(ISNUMBER(I26),ISNUMBER(J26),J26&gt;=I26),(J26-I26)*1440,"")</f>
        <v/>
      </c>
      <c r="M26" s="12">
        <f>IF(AND(ISNUMBER(I26),ISNUMBER(K26),K26&gt;=I26),(K26-I26)*1440,"")</f>
        <v/>
      </c>
      <c r="N26" s="9" t="s">
        <v>24</v>
      </c>
      <c r="O26" s="1">
        <f>IF(N26="Not Run","",IF(AND(OR(N26="Delivered",N26="Received; receipt pending"),NOT(ISNUMBER(L26))),"Enter valid send and arrival timestamps",IF(AND(N26="Delivered",NOT(ISNUMBER(M26))),"Enter valid sender Delivered timestamp",IF(AND(ISNUMBER(J26),ISNUMBER(K26),K26&lt;J26),"Check clock order: receipt precedes arrival",""))))</f>
        <v/>
      </c>
      <c r="P26" s="9"/>
      <c r="Q26" s="9"/>
      <c r="R26" s="9"/>
      <c r="S26" s="9"/>
      <c r="T26" s="9"/>
      <c r="U26" s="9"/>
      <c r="V26" s="9"/>
    </row>
    <row r="27" spans="1:22" ht="32" customHeight="1">
      <c r="A27" s="1" t="s">
        <v>312</v>
      </c>
      <c r="B27" s="9"/>
      <c r="C27" s="9"/>
      <c r="D27" s="9"/>
      <c r="E27" s="9"/>
      <c r="F27" s="9"/>
      <c r="G27" s="9"/>
      <c r="H27" s="9"/>
      <c r="I27" s="11"/>
      <c r="J27" s="11"/>
      <c r="K27" s="11"/>
      <c r="L27" s="12">
        <f>IF(AND(ISNUMBER(I27),ISNUMBER(J27),J27&gt;=I27),(J27-I27)*1440,"")</f>
        <v/>
      </c>
      <c r="M27" s="12">
        <f>IF(AND(ISNUMBER(I27),ISNUMBER(K27),K27&gt;=I27),(K27-I27)*1440,"")</f>
        <v/>
      </c>
      <c r="N27" s="9" t="s">
        <v>24</v>
      </c>
      <c r="O27" s="1">
        <f>IF(N27="Not Run","",IF(AND(OR(N27="Delivered",N27="Received; receipt pending"),NOT(ISNUMBER(L27))),"Enter valid send and arrival timestamps",IF(AND(N27="Delivered",NOT(ISNUMBER(M27))),"Enter valid sender Delivered timestamp",IF(AND(ISNUMBER(J27),ISNUMBER(K27),K27&lt;J27),"Check clock order: receipt precedes arrival",""))))</f>
        <v/>
      </c>
      <c r="P27" s="9"/>
      <c r="Q27" s="9"/>
      <c r="R27" s="9"/>
      <c r="S27" s="9"/>
      <c r="T27" s="9"/>
      <c r="U27" s="9"/>
      <c r="V27" s="9"/>
    </row>
    <row r="28" spans="1:22" ht="32" customHeight="1">
      <c r="A28" s="1" t="s">
        <v>313</v>
      </c>
      <c r="B28" s="9"/>
      <c r="C28" s="9"/>
      <c r="D28" s="9"/>
      <c r="E28" s="9"/>
      <c r="F28" s="9"/>
      <c r="G28" s="9"/>
      <c r="H28" s="9"/>
      <c r="I28" s="11"/>
      <c r="J28" s="11"/>
      <c r="K28" s="11"/>
      <c r="L28" s="12">
        <f>IF(AND(ISNUMBER(I28),ISNUMBER(J28),J28&gt;=I28),(J28-I28)*1440,"")</f>
        <v/>
      </c>
      <c r="M28" s="12">
        <f>IF(AND(ISNUMBER(I28),ISNUMBER(K28),K28&gt;=I28),(K28-I28)*1440,"")</f>
        <v/>
      </c>
      <c r="N28" s="9" t="s">
        <v>24</v>
      </c>
      <c r="O28" s="1">
        <f>IF(N28="Not Run","",IF(AND(OR(N28="Delivered",N28="Received; receipt pending"),NOT(ISNUMBER(L28))),"Enter valid send and arrival timestamps",IF(AND(N28="Delivered",NOT(ISNUMBER(M28))),"Enter valid sender Delivered timestamp",IF(AND(ISNUMBER(J28),ISNUMBER(K28),K28&lt;J28),"Check clock order: receipt precedes arrival",""))))</f>
        <v/>
      </c>
      <c r="P28" s="9"/>
      <c r="Q28" s="9"/>
      <c r="R28" s="9"/>
      <c r="S28" s="9"/>
      <c r="T28" s="9"/>
      <c r="U28" s="9"/>
      <c r="V28" s="9"/>
    </row>
    <row r="29" spans="1:22" ht="32" customHeight="1">
      <c r="A29" s="1" t="s">
        <v>314</v>
      </c>
      <c r="B29" s="9"/>
      <c r="C29" s="9"/>
      <c r="D29" s="9"/>
      <c r="E29" s="9"/>
      <c r="F29" s="9"/>
      <c r="G29" s="9"/>
      <c r="H29" s="9"/>
      <c r="I29" s="11"/>
      <c r="J29" s="11"/>
      <c r="K29" s="11"/>
      <c r="L29" s="12">
        <f>IF(AND(ISNUMBER(I29),ISNUMBER(J29),J29&gt;=I29),(J29-I29)*1440,"")</f>
        <v/>
      </c>
      <c r="M29" s="12">
        <f>IF(AND(ISNUMBER(I29),ISNUMBER(K29),K29&gt;=I29),(K29-I29)*1440,"")</f>
        <v/>
      </c>
      <c r="N29" s="9" t="s">
        <v>24</v>
      </c>
      <c r="O29" s="1">
        <f>IF(N29="Not Run","",IF(AND(OR(N29="Delivered",N29="Received; receipt pending"),NOT(ISNUMBER(L29))),"Enter valid send and arrival timestamps",IF(AND(N29="Delivered",NOT(ISNUMBER(M29))),"Enter valid sender Delivered timestamp",IF(AND(ISNUMBER(J29),ISNUMBER(K29),K29&lt;J29),"Check clock order: receipt precedes arrival",""))))</f>
        <v/>
      </c>
      <c r="P29" s="9"/>
      <c r="Q29" s="9"/>
      <c r="R29" s="9"/>
      <c r="S29" s="9"/>
      <c r="T29" s="9"/>
      <c r="U29" s="9"/>
      <c r="V29" s="9"/>
    </row>
    <row r="30" spans="1:22" ht="32" customHeight="1">
      <c r="A30" s="1" t="s">
        <v>315</v>
      </c>
      <c r="B30" s="9"/>
      <c r="C30" s="9"/>
      <c r="D30" s="9"/>
      <c r="E30" s="9"/>
      <c r="F30" s="9"/>
      <c r="G30" s="9"/>
      <c r="H30" s="9"/>
      <c r="I30" s="11"/>
      <c r="J30" s="11"/>
      <c r="K30" s="11"/>
      <c r="L30" s="12">
        <f>IF(AND(ISNUMBER(I30),ISNUMBER(J30),J30&gt;=I30),(J30-I30)*1440,"")</f>
        <v/>
      </c>
      <c r="M30" s="12">
        <f>IF(AND(ISNUMBER(I30),ISNUMBER(K30),K30&gt;=I30),(K30-I30)*1440,"")</f>
        <v/>
      </c>
      <c r="N30" s="9" t="s">
        <v>24</v>
      </c>
      <c r="O30" s="1">
        <f>IF(N30="Not Run","",IF(AND(OR(N30="Delivered",N30="Received; receipt pending"),NOT(ISNUMBER(L30))),"Enter valid send and arrival timestamps",IF(AND(N30="Delivered",NOT(ISNUMBER(M30))),"Enter valid sender Delivered timestamp",IF(AND(ISNUMBER(J30),ISNUMBER(K30),K30&lt;J30),"Check clock order: receipt precedes arrival",""))))</f>
        <v/>
      </c>
      <c r="P30" s="9"/>
      <c r="Q30" s="9"/>
      <c r="R30" s="9"/>
      <c r="S30" s="9"/>
      <c r="T30" s="9"/>
      <c r="U30" s="9"/>
      <c r="V30" s="9"/>
    </row>
    <row r="31" spans="1:22" ht="32" customHeight="1">
      <c r="A31" s="1" t="s">
        <v>316</v>
      </c>
      <c r="B31" s="9"/>
      <c r="C31" s="9"/>
      <c r="D31" s="9"/>
      <c r="E31" s="9"/>
      <c r="F31" s="9"/>
      <c r="G31" s="9"/>
      <c r="H31" s="9"/>
      <c r="I31" s="11"/>
      <c r="J31" s="11"/>
      <c r="K31" s="11"/>
      <c r="L31" s="12">
        <f>IF(AND(ISNUMBER(I31),ISNUMBER(J31),J31&gt;=I31),(J31-I31)*1440,"")</f>
        <v/>
      </c>
      <c r="M31" s="12">
        <f>IF(AND(ISNUMBER(I31),ISNUMBER(K31),K31&gt;=I31),(K31-I31)*1440,"")</f>
        <v/>
      </c>
      <c r="N31" s="9" t="s">
        <v>24</v>
      </c>
      <c r="O31" s="1">
        <f>IF(N31="Not Run","",IF(AND(OR(N31="Delivered",N31="Received; receipt pending"),NOT(ISNUMBER(L31))),"Enter valid send and arrival timestamps",IF(AND(N31="Delivered",NOT(ISNUMBER(M31))),"Enter valid sender Delivered timestamp",IF(AND(ISNUMBER(J31),ISNUMBER(K31),K31&lt;J31),"Check clock order: receipt precedes arrival",""))))</f>
        <v/>
      </c>
      <c r="P31" s="9"/>
      <c r="Q31" s="9"/>
      <c r="R31" s="9"/>
      <c r="S31" s="9"/>
      <c r="T31" s="9"/>
      <c r="U31" s="9"/>
      <c r="V31" s="9"/>
    </row>
    <row r="32" spans="1:22" ht="32" customHeight="1">
      <c r="A32" s="1" t="s">
        <v>317</v>
      </c>
      <c r="B32" s="9"/>
      <c r="C32" s="9"/>
      <c r="D32" s="9"/>
      <c r="E32" s="9"/>
      <c r="F32" s="9"/>
      <c r="G32" s="9"/>
      <c r="H32" s="9"/>
      <c r="I32" s="11"/>
      <c r="J32" s="11"/>
      <c r="K32" s="11"/>
      <c r="L32" s="12">
        <f>IF(AND(ISNUMBER(I32),ISNUMBER(J32),J32&gt;=I32),(J32-I32)*1440,"")</f>
        <v/>
      </c>
      <c r="M32" s="12">
        <f>IF(AND(ISNUMBER(I32),ISNUMBER(K32),K32&gt;=I32),(K32-I32)*1440,"")</f>
        <v/>
      </c>
      <c r="N32" s="9" t="s">
        <v>24</v>
      </c>
      <c r="O32" s="1">
        <f>IF(N32="Not Run","",IF(AND(OR(N32="Delivered",N32="Received; receipt pending"),NOT(ISNUMBER(L32))),"Enter valid send and arrival timestamps",IF(AND(N32="Delivered",NOT(ISNUMBER(M32))),"Enter valid sender Delivered timestamp",IF(AND(ISNUMBER(J32),ISNUMBER(K32),K32&lt;J32),"Check clock order: receipt precedes arrival",""))))</f>
        <v/>
      </c>
      <c r="P32" s="9"/>
      <c r="Q32" s="9"/>
      <c r="R32" s="9"/>
      <c r="S32" s="9"/>
      <c r="T32" s="9"/>
      <c r="U32" s="9"/>
      <c r="V32" s="9"/>
    </row>
    <row r="33" spans="1:22" ht="32" customHeight="1">
      <c r="A33" s="1" t="s">
        <v>318</v>
      </c>
      <c r="B33" s="9"/>
      <c r="C33" s="9"/>
      <c r="D33" s="9"/>
      <c r="E33" s="9"/>
      <c r="F33" s="9"/>
      <c r="G33" s="9"/>
      <c r="H33" s="9"/>
      <c r="I33" s="11"/>
      <c r="J33" s="11"/>
      <c r="K33" s="11"/>
      <c r="L33" s="12">
        <f>IF(AND(ISNUMBER(I33),ISNUMBER(J33),J33&gt;=I33),(J33-I33)*1440,"")</f>
        <v/>
      </c>
      <c r="M33" s="12">
        <f>IF(AND(ISNUMBER(I33),ISNUMBER(K33),K33&gt;=I33),(K33-I33)*1440,"")</f>
        <v/>
      </c>
      <c r="N33" s="9" t="s">
        <v>24</v>
      </c>
      <c r="O33" s="1">
        <f>IF(N33="Not Run","",IF(AND(OR(N33="Delivered",N33="Received; receipt pending"),NOT(ISNUMBER(L33))),"Enter valid send and arrival timestamps",IF(AND(N33="Delivered",NOT(ISNUMBER(M33))),"Enter valid sender Delivered timestamp",IF(AND(ISNUMBER(J33),ISNUMBER(K33),K33&lt;J33),"Check clock order: receipt precedes arrival",""))))</f>
        <v/>
      </c>
      <c r="P33" s="9"/>
      <c r="Q33" s="9"/>
      <c r="R33" s="9"/>
      <c r="S33" s="9"/>
      <c r="T33" s="9"/>
      <c r="U33" s="9"/>
      <c r="V33" s="9"/>
    </row>
    <row r="34" spans="1:22" ht="32" customHeight="1">
      <c r="A34" s="1" t="s">
        <v>319</v>
      </c>
      <c r="B34" s="9"/>
      <c r="C34" s="9"/>
      <c r="D34" s="9"/>
      <c r="E34" s="9"/>
      <c r="F34" s="9"/>
      <c r="G34" s="9"/>
      <c r="H34" s="9"/>
      <c r="I34" s="11"/>
      <c r="J34" s="11"/>
      <c r="K34" s="11"/>
      <c r="L34" s="12">
        <f>IF(AND(ISNUMBER(I34),ISNUMBER(J34),J34&gt;=I34),(J34-I34)*1440,"")</f>
        <v/>
      </c>
      <c r="M34" s="12">
        <f>IF(AND(ISNUMBER(I34),ISNUMBER(K34),K34&gt;=I34),(K34-I34)*1440,"")</f>
        <v/>
      </c>
      <c r="N34" s="9" t="s">
        <v>24</v>
      </c>
      <c r="O34" s="1">
        <f>IF(N34="Not Run","",IF(AND(OR(N34="Delivered",N34="Received; receipt pending"),NOT(ISNUMBER(L34))),"Enter valid send and arrival timestamps",IF(AND(N34="Delivered",NOT(ISNUMBER(M34))),"Enter valid sender Delivered timestamp",IF(AND(ISNUMBER(J34),ISNUMBER(K34),K34&lt;J34),"Check clock order: receipt precedes arrival",""))))</f>
        <v/>
      </c>
      <c r="P34" s="9"/>
      <c r="Q34" s="9"/>
      <c r="R34" s="9"/>
      <c r="S34" s="9"/>
      <c r="T34" s="9"/>
      <c r="U34" s="9"/>
      <c r="V34" s="9"/>
    </row>
    <row r="35" spans="1:22" ht="32" customHeight="1">
      <c r="A35" s="1" t="s">
        <v>320</v>
      </c>
      <c r="B35" s="9"/>
      <c r="C35" s="9"/>
      <c r="D35" s="9"/>
      <c r="E35" s="9"/>
      <c r="F35" s="9"/>
      <c r="G35" s="9"/>
      <c r="H35" s="9"/>
      <c r="I35" s="11"/>
      <c r="J35" s="11"/>
      <c r="K35" s="11"/>
      <c r="L35" s="12">
        <f>IF(AND(ISNUMBER(I35),ISNUMBER(J35),J35&gt;=I35),(J35-I35)*1440,"")</f>
        <v/>
      </c>
      <c r="M35" s="12">
        <f>IF(AND(ISNUMBER(I35),ISNUMBER(K35),K35&gt;=I35),(K35-I35)*1440,"")</f>
        <v/>
      </c>
      <c r="N35" s="9" t="s">
        <v>24</v>
      </c>
      <c r="O35" s="1">
        <f>IF(N35="Not Run","",IF(AND(OR(N35="Delivered",N35="Received; receipt pending"),NOT(ISNUMBER(L35))),"Enter valid send and arrival timestamps",IF(AND(N35="Delivered",NOT(ISNUMBER(M35))),"Enter valid sender Delivered timestamp",IF(AND(ISNUMBER(J35),ISNUMBER(K35),K35&lt;J35),"Check clock order: receipt precedes arrival",""))))</f>
        <v/>
      </c>
      <c r="P35" s="9"/>
      <c r="Q35" s="9"/>
      <c r="R35" s="9"/>
      <c r="S35" s="9"/>
      <c r="T35" s="9"/>
      <c r="U35" s="9"/>
      <c r="V35" s="9"/>
    </row>
    <row r="36" spans="1:22" ht="32" customHeight="1">
      <c r="A36" s="1" t="s">
        <v>321</v>
      </c>
      <c r="B36" s="9"/>
      <c r="C36" s="9"/>
      <c r="D36" s="9"/>
      <c r="E36" s="9"/>
      <c r="F36" s="9"/>
      <c r="G36" s="9"/>
      <c r="H36" s="9"/>
      <c r="I36" s="11"/>
      <c r="J36" s="11"/>
      <c r="K36" s="11"/>
      <c r="L36" s="12">
        <f>IF(AND(ISNUMBER(I36),ISNUMBER(J36),J36&gt;=I36),(J36-I36)*1440,"")</f>
        <v/>
      </c>
      <c r="M36" s="12">
        <f>IF(AND(ISNUMBER(I36),ISNUMBER(K36),K36&gt;=I36),(K36-I36)*1440,"")</f>
        <v/>
      </c>
      <c r="N36" s="9" t="s">
        <v>24</v>
      </c>
      <c r="O36" s="1">
        <f>IF(N36="Not Run","",IF(AND(OR(N36="Delivered",N36="Received; receipt pending"),NOT(ISNUMBER(L36))),"Enter valid send and arrival timestamps",IF(AND(N36="Delivered",NOT(ISNUMBER(M36))),"Enter valid sender Delivered timestamp",IF(AND(ISNUMBER(J36),ISNUMBER(K36),K36&lt;J36),"Check clock order: receipt precedes arrival",""))))</f>
        <v/>
      </c>
      <c r="P36" s="9"/>
      <c r="Q36" s="9"/>
      <c r="R36" s="9"/>
      <c r="S36" s="9"/>
      <c r="T36" s="9"/>
      <c r="U36" s="9"/>
      <c r="V36" s="9"/>
    </row>
    <row r="37" spans="1:22" ht="32" customHeight="1">
      <c r="A37" s="1" t="s">
        <v>322</v>
      </c>
      <c r="B37" s="9"/>
      <c r="C37" s="9"/>
      <c r="D37" s="9"/>
      <c r="E37" s="9"/>
      <c r="F37" s="9"/>
      <c r="G37" s="9"/>
      <c r="H37" s="9"/>
      <c r="I37" s="11"/>
      <c r="J37" s="11"/>
      <c r="K37" s="11"/>
      <c r="L37" s="12">
        <f>IF(AND(ISNUMBER(I37),ISNUMBER(J37),J37&gt;=I37),(J37-I37)*1440,"")</f>
        <v/>
      </c>
      <c r="M37" s="12">
        <f>IF(AND(ISNUMBER(I37),ISNUMBER(K37),K37&gt;=I37),(K37-I37)*1440,"")</f>
        <v/>
      </c>
      <c r="N37" s="9" t="s">
        <v>24</v>
      </c>
      <c r="O37" s="1">
        <f>IF(N37="Not Run","",IF(AND(OR(N37="Delivered",N37="Received; receipt pending"),NOT(ISNUMBER(L37))),"Enter valid send and arrival timestamps",IF(AND(N37="Delivered",NOT(ISNUMBER(M37))),"Enter valid sender Delivered timestamp",IF(AND(ISNUMBER(J37),ISNUMBER(K37),K37&lt;J37),"Check clock order: receipt precedes arrival",""))))</f>
        <v/>
      </c>
      <c r="P37" s="9"/>
      <c r="Q37" s="9"/>
      <c r="R37" s="9"/>
      <c r="S37" s="9"/>
      <c r="T37" s="9"/>
      <c r="U37" s="9"/>
      <c r="V37" s="9"/>
    </row>
    <row r="38" spans="1:22" ht="32" customHeight="1">
      <c r="A38" s="1" t="s">
        <v>323</v>
      </c>
      <c r="B38" s="9"/>
      <c r="C38" s="9"/>
      <c r="D38" s="9"/>
      <c r="E38" s="9"/>
      <c r="F38" s="9"/>
      <c r="G38" s="9"/>
      <c r="H38" s="9"/>
      <c r="I38" s="11"/>
      <c r="J38" s="11"/>
      <c r="K38" s="11"/>
      <c r="L38" s="12">
        <f>IF(AND(ISNUMBER(I38),ISNUMBER(J38),J38&gt;=I38),(J38-I38)*1440,"")</f>
        <v/>
      </c>
      <c r="M38" s="12">
        <f>IF(AND(ISNUMBER(I38),ISNUMBER(K38),K38&gt;=I38),(K38-I38)*1440,"")</f>
        <v/>
      </c>
      <c r="N38" s="9" t="s">
        <v>24</v>
      </c>
      <c r="O38" s="1">
        <f>IF(N38="Not Run","",IF(AND(OR(N38="Delivered",N38="Received; receipt pending"),NOT(ISNUMBER(L38))),"Enter valid send and arrival timestamps",IF(AND(N38="Delivered",NOT(ISNUMBER(M38))),"Enter valid sender Delivered timestamp",IF(AND(ISNUMBER(J38),ISNUMBER(K38),K38&lt;J38),"Check clock order: receipt precedes arrival",""))))</f>
        <v/>
      </c>
      <c r="P38" s="9"/>
      <c r="Q38" s="9"/>
      <c r="R38" s="9"/>
      <c r="S38" s="9"/>
      <c r="T38" s="9"/>
      <c r="U38" s="9"/>
      <c r="V38" s="9"/>
    </row>
    <row r="39" spans="1:22" ht="32" customHeight="1">
      <c r="A39" s="1" t="s">
        <v>324</v>
      </c>
      <c r="B39" s="9"/>
      <c r="C39" s="9"/>
      <c r="D39" s="9"/>
      <c r="E39" s="9"/>
      <c r="F39" s="9"/>
      <c r="G39" s="9"/>
      <c r="H39" s="9"/>
      <c r="I39" s="11"/>
      <c r="J39" s="11"/>
      <c r="K39" s="11"/>
      <c r="L39" s="12">
        <f>IF(AND(ISNUMBER(I39),ISNUMBER(J39),J39&gt;=I39),(J39-I39)*1440,"")</f>
        <v/>
      </c>
      <c r="M39" s="12">
        <f>IF(AND(ISNUMBER(I39),ISNUMBER(K39),K39&gt;=I39),(K39-I39)*1440,"")</f>
        <v/>
      </c>
      <c r="N39" s="9" t="s">
        <v>24</v>
      </c>
      <c r="O39" s="1">
        <f>IF(N39="Not Run","",IF(AND(OR(N39="Delivered",N39="Received; receipt pending"),NOT(ISNUMBER(L39))),"Enter valid send and arrival timestamps",IF(AND(N39="Delivered",NOT(ISNUMBER(M39))),"Enter valid sender Delivered timestamp",IF(AND(ISNUMBER(J39),ISNUMBER(K39),K39&lt;J39),"Check clock order: receipt precedes arrival",""))))</f>
        <v/>
      </c>
      <c r="P39" s="9"/>
      <c r="Q39" s="9"/>
      <c r="R39" s="9"/>
      <c r="S39" s="9"/>
      <c r="T39" s="9"/>
      <c r="U39" s="9"/>
      <c r="V39" s="9"/>
    </row>
    <row r="40" spans="1:22" ht="32" customHeight="1">
      <c r="A40" s="1" t="s">
        <v>325</v>
      </c>
      <c r="B40" s="9"/>
      <c r="C40" s="9"/>
      <c r="D40" s="9"/>
      <c r="E40" s="9"/>
      <c r="F40" s="9"/>
      <c r="G40" s="9"/>
      <c r="H40" s="9"/>
      <c r="I40" s="11"/>
      <c r="J40" s="11"/>
      <c r="K40" s="11"/>
      <c r="L40" s="12">
        <f>IF(AND(ISNUMBER(I40),ISNUMBER(J40),J40&gt;=I40),(J40-I40)*1440,"")</f>
        <v/>
      </c>
      <c r="M40" s="12">
        <f>IF(AND(ISNUMBER(I40),ISNUMBER(K40),K40&gt;=I40),(K40-I40)*1440,"")</f>
        <v/>
      </c>
      <c r="N40" s="9" t="s">
        <v>24</v>
      </c>
      <c r="O40" s="1">
        <f>IF(N40="Not Run","",IF(AND(OR(N40="Delivered",N40="Received; receipt pending"),NOT(ISNUMBER(L40))),"Enter valid send and arrival timestamps",IF(AND(N40="Delivered",NOT(ISNUMBER(M40))),"Enter valid sender Delivered timestamp",IF(AND(ISNUMBER(J40),ISNUMBER(K40),K40&lt;J40),"Check clock order: receipt precedes arrival",""))))</f>
        <v/>
      </c>
      <c r="P40" s="9"/>
      <c r="Q40" s="9"/>
      <c r="R40" s="9"/>
      <c r="S40" s="9"/>
      <c r="T40" s="9"/>
      <c r="U40" s="9"/>
      <c r="V40" s="9"/>
    </row>
    <row r="41" spans="1:22" ht="32" customHeight="1">
      <c r="A41" s="1" t="s">
        <v>326</v>
      </c>
      <c r="B41" s="9"/>
      <c r="C41" s="9"/>
      <c r="D41" s="9"/>
      <c r="E41" s="9"/>
      <c r="F41" s="9"/>
      <c r="G41" s="9"/>
      <c r="H41" s="9"/>
      <c r="I41" s="11"/>
      <c r="J41" s="11"/>
      <c r="K41" s="11"/>
      <c r="L41" s="12">
        <f>IF(AND(ISNUMBER(I41),ISNUMBER(J41),J41&gt;=I41),(J41-I41)*1440,"")</f>
        <v/>
      </c>
      <c r="M41" s="12">
        <f>IF(AND(ISNUMBER(I41),ISNUMBER(K41),K41&gt;=I41),(K41-I41)*1440,"")</f>
        <v/>
      </c>
      <c r="N41" s="9" t="s">
        <v>24</v>
      </c>
      <c r="O41" s="1">
        <f>IF(N41="Not Run","",IF(AND(OR(N41="Delivered",N41="Received; receipt pending"),NOT(ISNUMBER(L41))),"Enter valid send and arrival timestamps",IF(AND(N41="Delivered",NOT(ISNUMBER(M41))),"Enter valid sender Delivered timestamp",IF(AND(ISNUMBER(J41),ISNUMBER(K41),K41&lt;J41),"Check clock order: receipt precedes arrival",""))))</f>
        <v/>
      </c>
      <c r="P41" s="9"/>
      <c r="Q41" s="9"/>
      <c r="R41" s="9"/>
      <c r="S41" s="9"/>
      <c r="T41" s="9"/>
      <c r="U41" s="9"/>
      <c r="V41" s="9"/>
    </row>
    <row r="42" spans="1:22" ht="32" customHeight="1">
      <c r="A42" s="1" t="s">
        <v>327</v>
      </c>
      <c r="B42" s="9"/>
      <c r="C42" s="9"/>
      <c r="D42" s="9"/>
      <c r="E42" s="9"/>
      <c r="F42" s="9"/>
      <c r="G42" s="9"/>
      <c r="H42" s="9"/>
      <c r="I42" s="11"/>
      <c r="J42" s="11"/>
      <c r="K42" s="11"/>
      <c r="L42" s="12">
        <f>IF(AND(ISNUMBER(I42),ISNUMBER(J42),J42&gt;=I42),(J42-I42)*1440,"")</f>
        <v/>
      </c>
      <c r="M42" s="12">
        <f>IF(AND(ISNUMBER(I42),ISNUMBER(K42),K42&gt;=I42),(K42-I42)*1440,"")</f>
        <v/>
      </c>
      <c r="N42" s="9" t="s">
        <v>24</v>
      </c>
      <c r="O42" s="1">
        <f>IF(N42="Not Run","",IF(AND(OR(N42="Delivered",N42="Received; receipt pending"),NOT(ISNUMBER(L42))),"Enter valid send and arrival timestamps",IF(AND(N42="Delivered",NOT(ISNUMBER(M42))),"Enter valid sender Delivered timestamp",IF(AND(ISNUMBER(J42),ISNUMBER(K42),K42&lt;J42),"Check clock order: receipt precedes arrival",""))))</f>
        <v/>
      </c>
      <c r="P42" s="9"/>
      <c r="Q42" s="9"/>
      <c r="R42" s="9"/>
      <c r="S42" s="9"/>
      <c r="T42" s="9"/>
      <c r="U42" s="9"/>
      <c r="V42" s="9"/>
    </row>
    <row r="43" spans="1:22" ht="32" customHeight="1">
      <c r="A43" s="1" t="s">
        <v>328</v>
      </c>
      <c r="B43" s="9"/>
      <c r="C43" s="9"/>
      <c r="D43" s="9"/>
      <c r="E43" s="9"/>
      <c r="F43" s="9"/>
      <c r="G43" s="9"/>
      <c r="H43" s="9"/>
      <c r="I43" s="11"/>
      <c r="J43" s="11"/>
      <c r="K43" s="11"/>
      <c r="L43" s="12">
        <f>IF(AND(ISNUMBER(I43),ISNUMBER(J43),J43&gt;=I43),(J43-I43)*1440,"")</f>
        <v/>
      </c>
      <c r="M43" s="12">
        <f>IF(AND(ISNUMBER(I43),ISNUMBER(K43),K43&gt;=I43),(K43-I43)*1440,"")</f>
        <v/>
      </c>
      <c r="N43" s="9" t="s">
        <v>24</v>
      </c>
      <c r="O43" s="1">
        <f>IF(N43="Not Run","",IF(AND(OR(N43="Delivered",N43="Received; receipt pending"),NOT(ISNUMBER(L43))),"Enter valid send and arrival timestamps",IF(AND(N43="Delivered",NOT(ISNUMBER(M43))),"Enter valid sender Delivered timestamp",IF(AND(ISNUMBER(J43),ISNUMBER(K43),K43&lt;J43),"Check clock order: receipt precedes arrival",""))))</f>
        <v/>
      </c>
      <c r="P43" s="9"/>
      <c r="Q43" s="9"/>
      <c r="R43" s="9"/>
      <c r="S43" s="9"/>
      <c r="T43" s="9"/>
      <c r="U43" s="9"/>
      <c r="V43" s="9"/>
    </row>
    <row r="44" spans="1:22" ht="32" customHeight="1">
      <c r="A44" s="1" t="s">
        <v>329</v>
      </c>
      <c r="B44" s="9"/>
      <c r="C44" s="9"/>
      <c r="D44" s="9"/>
      <c r="E44" s="9"/>
      <c r="F44" s="9"/>
      <c r="G44" s="9"/>
      <c r="H44" s="9"/>
      <c r="I44" s="11"/>
      <c r="J44" s="11"/>
      <c r="K44" s="11"/>
      <c r="L44" s="12">
        <f>IF(AND(ISNUMBER(I44),ISNUMBER(J44),J44&gt;=I44),(J44-I44)*1440,"")</f>
        <v/>
      </c>
      <c r="M44" s="12">
        <f>IF(AND(ISNUMBER(I44),ISNUMBER(K44),K44&gt;=I44),(K44-I44)*1440,"")</f>
        <v/>
      </c>
      <c r="N44" s="9" t="s">
        <v>24</v>
      </c>
      <c r="O44" s="1">
        <f>IF(N44="Not Run","",IF(AND(OR(N44="Delivered",N44="Received; receipt pending"),NOT(ISNUMBER(L44))),"Enter valid send and arrival timestamps",IF(AND(N44="Delivered",NOT(ISNUMBER(M44))),"Enter valid sender Delivered timestamp",IF(AND(ISNUMBER(J44),ISNUMBER(K44),K44&lt;J44),"Check clock order: receipt precedes arrival",""))))</f>
        <v/>
      </c>
      <c r="P44" s="9"/>
      <c r="Q44" s="9"/>
      <c r="R44" s="9"/>
      <c r="S44" s="9"/>
      <c r="T44" s="9"/>
      <c r="U44" s="9"/>
      <c r="V44" s="9"/>
    </row>
    <row r="45" spans="1:22" ht="32" customHeight="1">
      <c r="A45" s="1" t="s">
        <v>330</v>
      </c>
      <c r="B45" s="9"/>
      <c r="C45" s="9"/>
      <c r="D45" s="9"/>
      <c r="E45" s="9"/>
      <c r="F45" s="9"/>
      <c r="G45" s="9"/>
      <c r="H45" s="9"/>
      <c r="I45" s="11"/>
      <c r="J45" s="11"/>
      <c r="K45" s="11"/>
      <c r="L45" s="12">
        <f>IF(AND(ISNUMBER(I45),ISNUMBER(J45),J45&gt;=I45),(J45-I45)*1440,"")</f>
        <v/>
      </c>
      <c r="M45" s="12">
        <f>IF(AND(ISNUMBER(I45),ISNUMBER(K45),K45&gt;=I45),(K45-I45)*1440,"")</f>
        <v/>
      </c>
      <c r="N45" s="9" t="s">
        <v>24</v>
      </c>
      <c r="O45" s="1">
        <f>IF(N45="Not Run","",IF(AND(OR(N45="Delivered",N45="Received; receipt pending"),NOT(ISNUMBER(L45))),"Enter valid send and arrival timestamps",IF(AND(N45="Delivered",NOT(ISNUMBER(M45))),"Enter valid sender Delivered timestamp",IF(AND(ISNUMBER(J45),ISNUMBER(K45),K45&lt;J45),"Check clock order: receipt precedes arrival",""))))</f>
        <v/>
      </c>
      <c r="P45" s="9"/>
      <c r="Q45" s="9"/>
      <c r="R45" s="9"/>
      <c r="S45" s="9"/>
      <c r="T45" s="9"/>
      <c r="U45" s="9"/>
      <c r="V45" s="9"/>
    </row>
    <row r="46" spans="1:22" ht="32" customHeight="1">
      <c r="A46" s="1" t="s">
        <v>331</v>
      </c>
      <c r="B46" s="9"/>
      <c r="C46" s="9"/>
      <c r="D46" s="9"/>
      <c r="E46" s="9"/>
      <c r="F46" s="9"/>
      <c r="G46" s="9"/>
      <c r="H46" s="9"/>
      <c r="I46" s="11"/>
      <c r="J46" s="11"/>
      <c r="K46" s="11"/>
      <c r="L46" s="12">
        <f>IF(AND(ISNUMBER(I46),ISNUMBER(J46),J46&gt;=I46),(J46-I46)*1440,"")</f>
        <v/>
      </c>
      <c r="M46" s="12">
        <f>IF(AND(ISNUMBER(I46),ISNUMBER(K46),K46&gt;=I46),(K46-I46)*1440,"")</f>
        <v/>
      </c>
      <c r="N46" s="9" t="s">
        <v>24</v>
      </c>
      <c r="O46" s="1">
        <f>IF(N46="Not Run","",IF(AND(OR(N46="Delivered",N46="Received; receipt pending"),NOT(ISNUMBER(L46))),"Enter valid send and arrival timestamps",IF(AND(N46="Delivered",NOT(ISNUMBER(M46))),"Enter valid sender Delivered timestamp",IF(AND(ISNUMBER(J46),ISNUMBER(K46),K46&lt;J46),"Check clock order: receipt precedes arrival",""))))</f>
        <v/>
      </c>
      <c r="P46" s="9"/>
      <c r="Q46" s="9"/>
      <c r="R46" s="9"/>
      <c r="S46" s="9"/>
      <c r="T46" s="9"/>
      <c r="U46" s="9"/>
      <c r="V46" s="9"/>
    </row>
    <row r="47" spans="1:22" ht="32" customHeight="1">
      <c r="A47" s="1" t="s">
        <v>332</v>
      </c>
      <c r="B47" s="9"/>
      <c r="C47" s="9"/>
      <c r="D47" s="9"/>
      <c r="E47" s="9"/>
      <c r="F47" s="9"/>
      <c r="G47" s="9"/>
      <c r="H47" s="9"/>
      <c r="I47" s="11"/>
      <c r="J47" s="11"/>
      <c r="K47" s="11"/>
      <c r="L47" s="12">
        <f>IF(AND(ISNUMBER(I47),ISNUMBER(J47),J47&gt;=I47),(J47-I47)*1440,"")</f>
        <v/>
      </c>
      <c r="M47" s="12">
        <f>IF(AND(ISNUMBER(I47),ISNUMBER(K47),K47&gt;=I47),(K47-I47)*1440,"")</f>
        <v/>
      </c>
      <c r="N47" s="9" t="s">
        <v>24</v>
      </c>
      <c r="O47" s="1">
        <f>IF(N47="Not Run","",IF(AND(OR(N47="Delivered",N47="Received; receipt pending"),NOT(ISNUMBER(L47))),"Enter valid send and arrival timestamps",IF(AND(N47="Delivered",NOT(ISNUMBER(M47))),"Enter valid sender Delivered timestamp",IF(AND(ISNUMBER(J47),ISNUMBER(K47),K47&lt;J47),"Check clock order: receipt precedes arrival",""))))</f>
        <v/>
      </c>
      <c r="P47" s="9"/>
      <c r="Q47" s="9"/>
      <c r="R47" s="9"/>
      <c r="S47" s="9"/>
      <c r="T47" s="9"/>
      <c r="U47" s="9"/>
      <c r="V47" s="9"/>
    </row>
    <row r="48" spans="1:22" ht="32" customHeight="1">
      <c r="A48" s="1" t="s">
        <v>333</v>
      </c>
      <c r="B48" s="9"/>
      <c r="C48" s="9"/>
      <c r="D48" s="9"/>
      <c r="E48" s="9"/>
      <c r="F48" s="9"/>
      <c r="G48" s="9"/>
      <c r="H48" s="9"/>
      <c r="I48" s="11"/>
      <c r="J48" s="11"/>
      <c r="K48" s="11"/>
      <c r="L48" s="12">
        <f>IF(AND(ISNUMBER(I48),ISNUMBER(J48),J48&gt;=I48),(J48-I48)*1440,"")</f>
        <v/>
      </c>
      <c r="M48" s="12">
        <f>IF(AND(ISNUMBER(I48),ISNUMBER(K48),K48&gt;=I48),(K48-I48)*1440,"")</f>
        <v/>
      </c>
      <c r="N48" s="9" t="s">
        <v>24</v>
      </c>
      <c r="O48" s="1">
        <f>IF(N48="Not Run","",IF(AND(OR(N48="Delivered",N48="Received; receipt pending"),NOT(ISNUMBER(L48))),"Enter valid send and arrival timestamps",IF(AND(N48="Delivered",NOT(ISNUMBER(M48))),"Enter valid sender Delivered timestamp",IF(AND(ISNUMBER(J48),ISNUMBER(K48),K48&lt;J48),"Check clock order: receipt precedes arrival",""))))</f>
        <v/>
      </c>
      <c r="P48" s="9"/>
      <c r="Q48" s="9"/>
      <c r="R48" s="9"/>
      <c r="S48" s="9"/>
      <c r="T48" s="9"/>
      <c r="U48" s="9"/>
      <c r="V48" s="9"/>
    </row>
    <row r="49" spans="1:22" ht="32" customHeight="1">
      <c r="A49" s="1" t="s">
        <v>334</v>
      </c>
      <c r="B49" s="9"/>
      <c r="C49" s="9"/>
      <c r="D49" s="9"/>
      <c r="E49" s="9"/>
      <c r="F49" s="9"/>
      <c r="G49" s="9"/>
      <c r="H49" s="9"/>
      <c r="I49" s="11"/>
      <c r="J49" s="11"/>
      <c r="K49" s="11"/>
      <c r="L49" s="12">
        <f>IF(AND(ISNUMBER(I49),ISNUMBER(J49),J49&gt;=I49),(J49-I49)*1440,"")</f>
        <v/>
      </c>
      <c r="M49" s="12">
        <f>IF(AND(ISNUMBER(I49),ISNUMBER(K49),K49&gt;=I49),(K49-I49)*1440,"")</f>
        <v/>
      </c>
      <c r="N49" s="9" t="s">
        <v>24</v>
      </c>
      <c r="O49" s="1">
        <f>IF(N49="Not Run","",IF(AND(OR(N49="Delivered",N49="Received; receipt pending"),NOT(ISNUMBER(L49))),"Enter valid send and arrival timestamps",IF(AND(N49="Delivered",NOT(ISNUMBER(M49))),"Enter valid sender Delivered timestamp",IF(AND(ISNUMBER(J49),ISNUMBER(K49),K49&lt;J49),"Check clock order: receipt precedes arrival",""))))</f>
        <v/>
      </c>
      <c r="P49" s="9"/>
      <c r="Q49" s="9"/>
      <c r="R49" s="9"/>
      <c r="S49" s="9"/>
      <c r="T49" s="9"/>
      <c r="U49" s="9"/>
      <c r="V49" s="9"/>
    </row>
    <row r="50" spans="1:22" ht="32" customHeight="1">
      <c r="A50" s="1" t="s">
        <v>335</v>
      </c>
      <c r="B50" s="9"/>
      <c r="C50" s="9"/>
      <c r="D50" s="9"/>
      <c r="E50" s="9"/>
      <c r="F50" s="9"/>
      <c r="G50" s="9"/>
      <c r="H50" s="9"/>
      <c r="I50" s="11"/>
      <c r="J50" s="11"/>
      <c r="K50" s="11"/>
      <c r="L50" s="12">
        <f>IF(AND(ISNUMBER(I50),ISNUMBER(J50),J50&gt;=I50),(J50-I50)*1440,"")</f>
        <v/>
      </c>
      <c r="M50" s="12">
        <f>IF(AND(ISNUMBER(I50),ISNUMBER(K50),K50&gt;=I50),(K50-I50)*1440,"")</f>
        <v/>
      </c>
      <c r="N50" s="9" t="s">
        <v>24</v>
      </c>
      <c r="O50" s="1">
        <f>IF(N50="Not Run","",IF(AND(OR(N50="Delivered",N50="Received; receipt pending"),NOT(ISNUMBER(L50))),"Enter valid send and arrival timestamps",IF(AND(N50="Delivered",NOT(ISNUMBER(M50))),"Enter valid sender Delivered timestamp",IF(AND(ISNUMBER(J50),ISNUMBER(K50),K50&lt;J50),"Check clock order: receipt precedes arrival",""))))</f>
        <v/>
      </c>
      <c r="P50" s="9"/>
      <c r="Q50" s="9"/>
      <c r="R50" s="9"/>
      <c r="S50" s="9"/>
      <c r="T50" s="9"/>
      <c r="U50" s="9"/>
      <c r="V50" s="9"/>
    </row>
    <row r="51" spans="1:22" ht="32" customHeight="1">
      <c r="A51" s="1" t="s">
        <v>336</v>
      </c>
      <c r="B51" s="9"/>
      <c r="C51" s="9"/>
      <c r="D51" s="9"/>
      <c r="E51" s="9"/>
      <c r="F51" s="9"/>
      <c r="G51" s="9"/>
      <c r="H51" s="9"/>
      <c r="I51" s="11"/>
      <c r="J51" s="11"/>
      <c r="K51" s="11"/>
      <c r="L51" s="12">
        <f>IF(AND(ISNUMBER(I51),ISNUMBER(J51),J51&gt;=I51),(J51-I51)*1440,"")</f>
        <v/>
      </c>
      <c r="M51" s="12">
        <f>IF(AND(ISNUMBER(I51),ISNUMBER(K51),K51&gt;=I51),(K51-I51)*1440,"")</f>
        <v/>
      </c>
      <c r="N51" s="9" t="s">
        <v>24</v>
      </c>
      <c r="O51" s="1">
        <f>IF(N51="Not Run","",IF(AND(OR(N51="Delivered",N51="Received; receipt pending"),NOT(ISNUMBER(L51))),"Enter valid send and arrival timestamps",IF(AND(N51="Delivered",NOT(ISNUMBER(M51))),"Enter valid sender Delivered timestamp",IF(AND(ISNUMBER(J51),ISNUMBER(K51),K51&lt;J51),"Check clock order: receipt precedes arrival",""))))</f>
        <v/>
      </c>
      <c r="P51" s="9"/>
      <c r="Q51" s="9"/>
      <c r="R51" s="9"/>
      <c r="S51" s="9"/>
      <c r="T51" s="9"/>
      <c r="U51" s="9"/>
      <c r="V51" s="9"/>
    </row>
    <row r="52" spans="1:22" ht="32" customHeight="1">
      <c r="A52" s="1" t="s">
        <v>337</v>
      </c>
      <c r="B52" s="9"/>
      <c r="C52" s="9"/>
      <c r="D52" s="9"/>
      <c r="E52" s="9"/>
      <c r="F52" s="9"/>
      <c r="G52" s="9"/>
      <c r="H52" s="9"/>
      <c r="I52" s="11"/>
      <c r="J52" s="11"/>
      <c r="K52" s="11"/>
      <c r="L52" s="12">
        <f>IF(AND(ISNUMBER(I52),ISNUMBER(J52),J52&gt;=I52),(J52-I52)*1440,"")</f>
        <v/>
      </c>
      <c r="M52" s="12">
        <f>IF(AND(ISNUMBER(I52),ISNUMBER(K52),K52&gt;=I52),(K52-I52)*1440,"")</f>
        <v/>
      </c>
      <c r="N52" s="9" t="s">
        <v>24</v>
      </c>
      <c r="O52" s="1">
        <f>IF(N52="Not Run","",IF(AND(OR(N52="Delivered",N52="Received; receipt pending"),NOT(ISNUMBER(L52))),"Enter valid send and arrival timestamps",IF(AND(N52="Delivered",NOT(ISNUMBER(M52))),"Enter valid sender Delivered timestamp",IF(AND(ISNUMBER(J52),ISNUMBER(K52),K52&lt;J52),"Check clock order: receipt precedes arrival",""))))</f>
        <v/>
      </c>
      <c r="P52" s="9"/>
      <c r="Q52" s="9"/>
      <c r="R52" s="9"/>
      <c r="S52" s="9"/>
      <c r="T52" s="9"/>
      <c r="U52" s="9"/>
      <c r="V52" s="9"/>
    </row>
    <row r="53" spans="1:22" ht="32" customHeight="1">
      <c r="A53" s="1" t="s">
        <v>338</v>
      </c>
      <c r="B53" s="9"/>
      <c r="C53" s="9"/>
      <c r="D53" s="9"/>
      <c r="E53" s="9"/>
      <c r="F53" s="9"/>
      <c r="G53" s="9"/>
      <c r="H53" s="9"/>
      <c r="I53" s="11"/>
      <c r="J53" s="11"/>
      <c r="K53" s="11"/>
      <c r="L53" s="12">
        <f>IF(AND(ISNUMBER(I53),ISNUMBER(J53),J53&gt;=I53),(J53-I53)*1440,"")</f>
        <v/>
      </c>
      <c r="M53" s="12">
        <f>IF(AND(ISNUMBER(I53),ISNUMBER(K53),K53&gt;=I53),(K53-I53)*1440,"")</f>
        <v/>
      </c>
      <c r="N53" s="9" t="s">
        <v>24</v>
      </c>
      <c r="O53" s="1">
        <f>IF(N53="Not Run","",IF(AND(OR(N53="Delivered",N53="Received; receipt pending"),NOT(ISNUMBER(L53))),"Enter valid send and arrival timestamps",IF(AND(N53="Delivered",NOT(ISNUMBER(M53))),"Enter valid sender Delivered timestamp",IF(AND(ISNUMBER(J53),ISNUMBER(K53),K53&lt;J53),"Check clock order: receipt precedes arrival",""))))</f>
        <v/>
      </c>
      <c r="P53" s="9"/>
      <c r="Q53" s="9"/>
      <c r="R53" s="9"/>
      <c r="S53" s="9"/>
      <c r="T53" s="9"/>
      <c r="U53" s="9"/>
      <c r="V53" s="9"/>
    </row>
    <row r="54" spans="1:22" ht="32" customHeight="1">
      <c r="A54" s="1" t="s">
        <v>339</v>
      </c>
      <c r="B54" s="9"/>
      <c r="C54" s="9"/>
      <c r="D54" s="9"/>
      <c r="E54" s="9"/>
      <c r="F54" s="9"/>
      <c r="G54" s="9"/>
      <c r="H54" s="9"/>
      <c r="I54" s="11"/>
      <c r="J54" s="11"/>
      <c r="K54" s="11"/>
      <c r="L54" s="12">
        <f>IF(AND(ISNUMBER(I54),ISNUMBER(J54),J54&gt;=I54),(J54-I54)*1440,"")</f>
        <v/>
      </c>
      <c r="M54" s="12">
        <f>IF(AND(ISNUMBER(I54),ISNUMBER(K54),K54&gt;=I54),(K54-I54)*1440,"")</f>
        <v/>
      </c>
      <c r="N54" s="9" t="s">
        <v>24</v>
      </c>
      <c r="O54" s="1">
        <f>IF(N54="Not Run","",IF(AND(OR(N54="Delivered",N54="Received; receipt pending"),NOT(ISNUMBER(L54))),"Enter valid send and arrival timestamps",IF(AND(N54="Delivered",NOT(ISNUMBER(M54))),"Enter valid sender Delivered timestamp",IF(AND(ISNUMBER(J54),ISNUMBER(K54),K54&lt;J54),"Check clock order: receipt precedes arrival",""))))</f>
        <v/>
      </c>
      <c r="P54" s="9"/>
      <c r="Q54" s="9"/>
      <c r="R54" s="9"/>
      <c r="S54" s="9"/>
      <c r="T54" s="9"/>
      <c r="U54" s="9"/>
      <c r="V54" s="9"/>
    </row>
    <row r="55" spans="1:22" ht="32" customHeight="1">
      <c r="A55" s="1" t="s">
        <v>340</v>
      </c>
      <c r="B55" s="9"/>
      <c r="C55" s="9"/>
      <c r="D55" s="9"/>
      <c r="E55" s="9"/>
      <c r="F55" s="9"/>
      <c r="G55" s="9"/>
      <c r="H55" s="9"/>
      <c r="I55" s="11"/>
      <c r="J55" s="11"/>
      <c r="K55" s="11"/>
      <c r="L55" s="12">
        <f>IF(AND(ISNUMBER(I55),ISNUMBER(J55),J55&gt;=I55),(J55-I55)*1440,"")</f>
        <v/>
      </c>
      <c r="M55" s="12">
        <f>IF(AND(ISNUMBER(I55),ISNUMBER(K55),K55&gt;=I55),(K55-I55)*1440,"")</f>
        <v/>
      </c>
      <c r="N55" s="9" t="s">
        <v>24</v>
      </c>
      <c r="O55" s="1">
        <f>IF(N55="Not Run","",IF(AND(OR(N55="Delivered",N55="Received; receipt pending"),NOT(ISNUMBER(L55))),"Enter valid send and arrival timestamps",IF(AND(N55="Delivered",NOT(ISNUMBER(M55))),"Enter valid sender Delivered timestamp",IF(AND(ISNUMBER(J55),ISNUMBER(K55),K55&lt;J55),"Check clock order: receipt precedes arrival",""))))</f>
        <v/>
      </c>
      <c r="P55" s="9"/>
      <c r="Q55" s="9"/>
      <c r="R55" s="9"/>
      <c r="S55" s="9"/>
      <c r="T55" s="9"/>
      <c r="U55" s="9"/>
      <c r="V55" s="9"/>
    </row>
    <row r="56" spans="1:22" ht="32" customHeight="1">
      <c r="A56" s="1" t="s">
        <v>341</v>
      </c>
      <c r="B56" s="9"/>
      <c r="C56" s="9"/>
      <c r="D56" s="9"/>
      <c r="E56" s="9"/>
      <c r="F56" s="9"/>
      <c r="G56" s="9"/>
      <c r="H56" s="9"/>
      <c r="I56" s="11"/>
      <c r="J56" s="11"/>
      <c r="K56" s="11"/>
      <c r="L56" s="12">
        <f>IF(AND(ISNUMBER(I56),ISNUMBER(J56),J56&gt;=I56),(J56-I56)*1440,"")</f>
        <v/>
      </c>
      <c r="M56" s="12">
        <f>IF(AND(ISNUMBER(I56),ISNUMBER(K56),K56&gt;=I56),(K56-I56)*1440,"")</f>
        <v/>
      </c>
      <c r="N56" s="9" t="s">
        <v>24</v>
      </c>
      <c r="O56" s="1">
        <f>IF(N56="Not Run","",IF(AND(OR(N56="Delivered",N56="Received; receipt pending"),NOT(ISNUMBER(L56))),"Enter valid send and arrival timestamps",IF(AND(N56="Delivered",NOT(ISNUMBER(M56))),"Enter valid sender Delivered timestamp",IF(AND(ISNUMBER(J56),ISNUMBER(K56),K56&lt;J56),"Check clock order: receipt precedes arrival",""))))</f>
        <v/>
      </c>
      <c r="P56" s="9"/>
      <c r="Q56" s="9"/>
      <c r="R56" s="9"/>
      <c r="S56" s="9"/>
      <c r="T56" s="9"/>
      <c r="U56" s="9"/>
      <c r="V56" s="9"/>
    </row>
    <row r="57" spans="1:22" ht="32" customHeight="1">
      <c r="A57" s="1" t="s">
        <v>342</v>
      </c>
      <c r="B57" s="9"/>
      <c r="C57" s="9"/>
      <c r="D57" s="9"/>
      <c r="E57" s="9"/>
      <c r="F57" s="9"/>
      <c r="G57" s="9"/>
      <c r="H57" s="9"/>
      <c r="I57" s="11"/>
      <c r="J57" s="11"/>
      <c r="K57" s="11"/>
      <c r="L57" s="12">
        <f>IF(AND(ISNUMBER(I57),ISNUMBER(J57),J57&gt;=I57),(J57-I57)*1440,"")</f>
        <v/>
      </c>
      <c r="M57" s="12">
        <f>IF(AND(ISNUMBER(I57),ISNUMBER(K57),K57&gt;=I57),(K57-I57)*1440,"")</f>
        <v/>
      </c>
      <c r="N57" s="9" t="s">
        <v>24</v>
      </c>
      <c r="O57" s="1">
        <f>IF(N57="Not Run","",IF(AND(OR(N57="Delivered",N57="Received; receipt pending"),NOT(ISNUMBER(L57))),"Enter valid send and arrival timestamps",IF(AND(N57="Delivered",NOT(ISNUMBER(M57))),"Enter valid sender Delivered timestamp",IF(AND(ISNUMBER(J57),ISNUMBER(K57),K57&lt;J57),"Check clock order: receipt precedes arrival",""))))</f>
        <v/>
      </c>
      <c r="P57" s="9"/>
      <c r="Q57" s="9"/>
      <c r="R57" s="9"/>
      <c r="S57" s="9"/>
      <c r="T57" s="9"/>
      <c r="U57" s="9"/>
      <c r="V57" s="9"/>
    </row>
    <row r="58" spans="1:22" ht="32" customHeight="1">
      <c r="A58" s="1" t="s">
        <v>343</v>
      </c>
      <c r="B58" s="9"/>
      <c r="C58" s="9"/>
      <c r="D58" s="9"/>
      <c r="E58" s="9"/>
      <c r="F58" s="9"/>
      <c r="G58" s="9"/>
      <c r="H58" s="9"/>
      <c r="I58" s="11"/>
      <c r="J58" s="11"/>
      <c r="K58" s="11"/>
      <c r="L58" s="12">
        <f>IF(AND(ISNUMBER(I58),ISNUMBER(J58),J58&gt;=I58),(J58-I58)*1440,"")</f>
        <v/>
      </c>
      <c r="M58" s="12">
        <f>IF(AND(ISNUMBER(I58),ISNUMBER(K58),K58&gt;=I58),(K58-I58)*1440,"")</f>
        <v/>
      </c>
      <c r="N58" s="9" t="s">
        <v>24</v>
      </c>
      <c r="O58" s="1">
        <f>IF(N58="Not Run","",IF(AND(OR(N58="Delivered",N58="Received; receipt pending"),NOT(ISNUMBER(L58))),"Enter valid send and arrival timestamps",IF(AND(N58="Delivered",NOT(ISNUMBER(M58))),"Enter valid sender Delivered timestamp",IF(AND(ISNUMBER(J58),ISNUMBER(K58),K58&lt;J58),"Check clock order: receipt precedes arrival",""))))</f>
        <v/>
      </c>
      <c r="P58" s="9"/>
      <c r="Q58" s="9"/>
      <c r="R58" s="9"/>
      <c r="S58" s="9"/>
      <c r="T58" s="9"/>
      <c r="U58" s="9"/>
      <c r="V58" s="9"/>
    </row>
    <row r="59" spans="1:22" ht="32" customHeight="1">
      <c r="A59" s="1" t="s">
        <v>344</v>
      </c>
      <c r="B59" s="9"/>
      <c r="C59" s="9"/>
      <c r="D59" s="9"/>
      <c r="E59" s="9"/>
      <c r="F59" s="9"/>
      <c r="G59" s="9"/>
      <c r="H59" s="9"/>
      <c r="I59" s="11"/>
      <c r="J59" s="11"/>
      <c r="K59" s="11"/>
      <c r="L59" s="12">
        <f>IF(AND(ISNUMBER(I59),ISNUMBER(J59),J59&gt;=I59),(J59-I59)*1440,"")</f>
        <v/>
      </c>
      <c r="M59" s="12">
        <f>IF(AND(ISNUMBER(I59),ISNUMBER(K59),K59&gt;=I59),(K59-I59)*1440,"")</f>
        <v/>
      </c>
      <c r="N59" s="9" t="s">
        <v>24</v>
      </c>
      <c r="O59" s="1">
        <f>IF(N59="Not Run","",IF(AND(OR(N59="Delivered",N59="Received; receipt pending"),NOT(ISNUMBER(L59))),"Enter valid send and arrival timestamps",IF(AND(N59="Delivered",NOT(ISNUMBER(M59))),"Enter valid sender Delivered timestamp",IF(AND(ISNUMBER(J59),ISNUMBER(K59),K59&lt;J59),"Check clock order: receipt precedes arrival",""))))</f>
        <v/>
      </c>
      <c r="P59" s="9"/>
      <c r="Q59" s="9"/>
      <c r="R59" s="9"/>
      <c r="S59" s="9"/>
      <c r="T59" s="9"/>
      <c r="U59" s="9"/>
      <c r="V59" s="9"/>
    </row>
    <row r="60" spans="1:22" ht="32" customHeight="1">
      <c r="A60" s="1" t="s">
        <v>345</v>
      </c>
      <c r="B60" s="9"/>
      <c r="C60" s="9"/>
      <c r="D60" s="9"/>
      <c r="E60" s="9"/>
      <c r="F60" s="9"/>
      <c r="G60" s="9"/>
      <c r="H60" s="9"/>
      <c r="I60" s="11"/>
      <c r="J60" s="11"/>
      <c r="K60" s="11"/>
      <c r="L60" s="12">
        <f>IF(AND(ISNUMBER(I60),ISNUMBER(J60),J60&gt;=I60),(J60-I60)*1440,"")</f>
        <v/>
      </c>
      <c r="M60" s="12">
        <f>IF(AND(ISNUMBER(I60),ISNUMBER(K60),K60&gt;=I60),(K60-I60)*1440,"")</f>
        <v/>
      </c>
      <c r="N60" s="9" t="s">
        <v>24</v>
      </c>
      <c r="O60" s="1">
        <f>IF(N60="Not Run","",IF(AND(OR(N60="Delivered",N60="Received; receipt pending"),NOT(ISNUMBER(L60))),"Enter valid send and arrival timestamps",IF(AND(N60="Delivered",NOT(ISNUMBER(M60))),"Enter valid sender Delivered timestamp",IF(AND(ISNUMBER(J60),ISNUMBER(K60),K60&lt;J60),"Check clock order: receipt precedes arrival",""))))</f>
        <v/>
      </c>
      <c r="P60" s="9"/>
      <c r="Q60" s="9"/>
      <c r="R60" s="9"/>
      <c r="S60" s="9"/>
      <c r="T60" s="9"/>
      <c r="U60" s="9"/>
      <c r="V60" s="9"/>
    </row>
    <row r="61" spans="1:22" ht="32" customHeight="1">
      <c r="A61" s="1" t="s">
        <v>346</v>
      </c>
      <c r="B61" s="9"/>
      <c r="C61" s="9"/>
      <c r="D61" s="9"/>
      <c r="E61" s="9"/>
      <c r="F61" s="9"/>
      <c r="G61" s="9"/>
      <c r="H61" s="9"/>
      <c r="I61" s="11"/>
      <c r="J61" s="11"/>
      <c r="K61" s="11"/>
      <c r="L61" s="12">
        <f>IF(AND(ISNUMBER(I61),ISNUMBER(J61),J61&gt;=I61),(J61-I61)*1440,"")</f>
        <v/>
      </c>
      <c r="M61" s="12">
        <f>IF(AND(ISNUMBER(I61),ISNUMBER(K61),K61&gt;=I61),(K61-I61)*1440,"")</f>
        <v/>
      </c>
      <c r="N61" s="9" t="s">
        <v>24</v>
      </c>
      <c r="O61" s="1">
        <f>IF(N61="Not Run","",IF(AND(OR(N61="Delivered",N61="Received; receipt pending"),NOT(ISNUMBER(L61))),"Enter valid send and arrival timestamps",IF(AND(N61="Delivered",NOT(ISNUMBER(M61))),"Enter valid sender Delivered timestamp",IF(AND(ISNUMBER(J61),ISNUMBER(K61),K61&lt;J61),"Check clock order: receipt precedes arrival",""))))</f>
        <v/>
      </c>
      <c r="P61" s="9"/>
      <c r="Q61" s="9"/>
      <c r="R61" s="9"/>
      <c r="S61" s="9"/>
      <c r="T61" s="9"/>
      <c r="U61" s="9"/>
      <c r="V61" s="9"/>
    </row>
    <row r="62" spans="1:22" ht="32" customHeight="1">
      <c r="A62" s="1" t="s">
        <v>347</v>
      </c>
      <c r="B62" s="9"/>
      <c r="C62" s="9"/>
      <c r="D62" s="9"/>
      <c r="E62" s="9"/>
      <c r="F62" s="9"/>
      <c r="G62" s="9"/>
      <c r="H62" s="9"/>
      <c r="I62" s="11"/>
      <c r="J62" s="11"/>
      <c r="K62" s="11"/>
      <c r="L62" s="12">
        <f>IF(AND(ISNUMBER(I62),ISNUMBER(J62),J62&gt;=I62),(J62-I62)*1440,"")</f>
        <v/>
      </c>
      <c r="M62" s="12">
        <f>IF(AND(ISNUMBER(I62),ISNUMBER(K62),K62&gt;=I62),(K62-I62)*1440,"")</f>
        <v/>
      </c>
      <c r="N62" s="9" t="s">
        <v>24</v>
      </c>
      <c r="O62" s="1">
        <f>IF(N62="Not Run","",IF(AND(OR(N62="Delivered",N62="Received; receipt pending"),NOT(ISNUMBER(L62))),"Enter valid send and arrival timestamps",IF(AND(N62="Delivered",NOT(ISNUMBER(M62))),"Enter valid sender Delivered timestamp",IF(AND(ISNUMBER(J62),ISNUMBER(K62),K62&lt;J62),"Check clock order: receipt precedes arrival",""))))</f>
        <v/>
      </c>
      <c r="P62" s="9"/>
      <c r="Q62" s="9"/>
      <c r="R62" s="9"/>
      <c r="S62" s="9"/>
      <c r="T62" s="9"/>
      <c r="U62" s="9"/>
      <c r="V62" s="9"/>
    </row>
    <row r="63" spans="1:22" ht="32" customHeight="1">
      <c r="A63" s="1" t="s">
        <v>348</v>
      </c>
      <c r="B63" s="9"/>
      <c r="C63" s="9"/>
      <c r="D63" s="9"/>
      <c r="E63" s="9"/>
      <c r="F63" s="9"/>
      <c r="G63" s="9"/>
      <c r="H63" s="9"/>
      <c r="I63" s="11"/>
      <c r="J63" s="11"/>
      <c r="K63" s="11"/>
      <c r="L63" s="12">
        <f>IF(AND(ISNUMBER(I63),ISNUMBER(J63),J63&gt;=I63),(J63-I63)*1440,"")</f>
        <v/>
      </c>
      <c r="M63" s="12">
        <f>IF(AND(ISNUMBER(I63),ISNUMBER(K63),K63&gt;=I63),(K63-I63)*1440,"")</f>
        <v/>
      </c>
      <c r="N63" s="9" t="s">
        <v>24</v>
      </c>
      <c r="O63" s="1">
        <f>IF(N63="Not Run","",IF(AND(OR(N63="Delivered",N63="Received; receipt pending"),NOT(ISNUMBER(L63))),"Enter valid send and arrival timestamps",IF(AND(N63="Delivered",NOT(ISNUMBER(M63))),"Enter valid sender Delivered timestamp",IF(AND(ISNUMBER(J63),ISNUMBER(K63),K63&lt;J63),"Check clock order: receipt precedes arrival",""))))</f>
        <v/>
      </c>
      <c r="P63" s="9"/>
      <c r="Q63" s="9"/>
      <c r="R63" s="9"/>
      <c r="S63" s="9"/>
      <c r="T63" s="9"/>
      <c r="U63" s="9"/>
      <c r="V63" s="9"/>
    </row>
    <row r="64" spans="1:22" ht="32" customHeight="1">
      <c r="A64" s="1" t="s">
        <v>349</v>
      </c>
      <c r="B64" s="9"/>
      <c r="C64" s="9"/>
      <c r="D64" s="9"/>
      <c r="E64" s="9"/>
      <c r="F64" s="9"/>
      <c r="G64" s="9"/>
      <c r="H64" s="9"/>
      <c r="I64" s="11"/>
      <c r="J64" s="11"/>
      <c r="K64" s="11"/>
      <c r="L64" s="12">
        <f>IF(AND(ISNUMBER(I64),ISNUMBER(J64),J64&gt;=I64),(J64-I64)*1440,"")</f>
        <v/>
      </c>
      <c r="M64" s="12">
        <f>IF(AND(ISNUMBER(I64),ISNUMBER(K64),K64&gt;=I64),(K64-I64)*1440,"")</f>
        <v/>
      </c>
      <c r="N64" s="9" t="s">
        <v>24</v>
      </c>
      <c r="O64" s="1">
        <f>IF(N64="Not Run","",IF(AND(OR(N64="Delivered",N64="Received; receipt pending"),NOT(ISNUMBER(L64))),"Enter valid send and arrival timestamps",IF(AND(N64="Delivered",NOT(ISNUMBER(M64))),"Enter valid sender Delivered timestamp",IF(AND(ISNUMBER(J64),ISNUMBER(K64),K64&lt;J64),"Check clock order: receipt precedes arrival",""))))</f>
        <v/>
      </c>
      <c r="P64" s="9"/>
      <c r="Q64" s="9"/>
      <c r="R64" s="9"/>
      <c r="S64" s="9"/>
      <c r="T64" s="9"/>
      <c r="U64" s="9"/>
      <c r="V64" s="9"/>
    </row>
    <row r="65" spans="1:22" ht="32" customHeight="1">
      <c r="A65" s="1" t="s">
        <v>350</v>
      </c>
      <c r="B65" s="9"/>
      <c r="C65" s="9"/>
      <c r="D65" s="9"/>
      <c r="E65" s="9"/>
      <c r="F65" s="9"/>
      <c r="G65" s="9"/>
      <c r="H65" s="9"/>
      <c r="I65" s="11"/>
      <c r="J65" s="11"/>
      <c r="K65" s="11"/>
      <c r="L65" s="12">
        <f>IF(AND(ISNUMBER(I65),ISNUMBER(J65),J65&gt;=I65),(J65-I65)*1440,"")</f>
        <v/>
      </c>
      <c r="M65" s="12">
        <f>IF(AND(ISNUMBER(I65),ISNUMBER(K65),K65&gt;=I65),(K65-I65)*1440,"")</f>
        <v/>
      </c>
      <c r="N65" s="9" t="s">
        <v>24</v>
      </c>
      <c r="O65" s="1">
        <f>IF(N65="Not Run","",IF(AND(OR(N65="Delivered",N65="Received; receipt pending"),NOT(ISNUMBER(L65))),"Enter valid send and arrival timestamps",IF(AND(N65="Delivered",NOT(ISNUMBER(M65))),"Enter valid sender Delivered timestamp",IF(AND(ISNUMBER(J65),ISNUMBER(K65),K65&lt;J65),"Check clock order: receipt precedes arrival",""))))</f>
        <v/>
      </c>
      <c r="P65" s="9"/>
      <c r="Q65" s="9"/>
      <c r="R65" s="9"/>
      <c r="S65" s="9"/>
      <c r="T65" s="9"/>
      <c r="U65" s="9"/>
      <c r="V65" s="9"/>
    </row>
    <row r="66" spans="1:22" ht="32" customHeight="1">
      <c r="A66" s="1" t="s">
        <v>351</v>
      </c>
      <c r="B66" s="9"/>
      <c r="C66" s="9"/>
      <c r="D66" s="9"/>
      <c r="E66" s="9"/>
      <c r="F66" s="9"/>
      <c r="G66" s="9"/>
      <c r="H66" s="9"/>
      <c r="I66" s="11"/>
      <c r="J66" s="11"/>
      <c r="K66" s="11"/>
      <c r="L66" s="12">
        <f>IF(AND(ISNUMBER(I66),ISNUMBER(J66),J66&gt;=I66),(J66-I66)*1440,"")</f>
        <v/>
      </c>
      <c r="M66" s="12">
        <f>IF(AND(ISNUMBER(I66),ISNUMBER(K66),K66&gt;=I66),(K66-I66)*1440,"")</f>
        <v/>
      </c>
      <c r="N66" s="9" t="s">
        <v>24</v>
      </c>
      <c r="O66" s="1">
        <f>IF(N66="Not Run","",IF(AND(OR(N66="Delivered",N66="Received; receipt pending"),NOT(ISNUMBER(L66))),"Enter valid send and arrival timestamps",IF(AND(N66="Delivered",NOT(ISNUMBER(M66))),"Enter valid sender Delivered timestamp",IF(AND(ISNUMBER(J66),ISNUMBER(K66),K66&lt;J66),"Check clock order: receipt precedes arrival",""))))</f>
        <v/>
      </c>
      <c r="P66" s="9"/>
      <c r="Q66" s="9"/>
      <c r="R66" s="9"/>
      <c r="S66" s="9"/>
      <c r="T66" s="9"/>
      <c r="U66" s="9"/>
      <c r="V66" s="9"/>
    </row>
    <row r="67" spans="1:22" ht="32" customHeight="1">
      <c r="A67" s="1" t="s">
        <v>352</v>
      </c>
      <c r="B67" s="9"/>
      <c r="C67" s="9"/>
      <c r="D67" s="9"/>
      <c r="E67" s="9"/>
      <c r="F67" s="9"/>
      <c r="G67" s="9"/>
      <c r="H67" s="9"/>
      <c r="I67" s="11"/>
      <c r="J67" s="11"/>
      <c r="K67" s="11"/>
      <c r="L67" s="12">
        <f>IF(AND(ISNUMBER(I67),ISNUMBER(J67),J67&gt;=I67),(J67-I67)*1440,"")</f>
        <v/>
      </c>
      <c r="M67" s="12">
        <f>IF(AND(ISNUMBER(I67),ISNUMBER(K67),K67&gt;=I67),(K67-I67)*1440,"")</f>
        <v/>
      </c>
      <c r="N67" s="9" t="s">
        <v>24</v>
      </c>
      <c r="O67" s="1">
        <f>IF(N67="Not Run","",IF(AND(OR(N67="Delivered",N67="Received; receipt pending"),NOT(ISNUMBER(L67))),"Enter valid send and arrival timestamps",IF(AND(N67="Delivered",NOT(ISNUMBER(M67))),"Enter valid sender Delivered timestamp",IF(AND(ISNUMBER(J67),ISNUMBER(K67),K67&lt;J67),"Check clock order: receipt precedes arrival",""))))</f>
        <v/>
      </c>
      <c r="P67" s="9"/>
      <c r="Q67" s="9"/>
      <c r="R67" s="9"/>
      <c r="S67" s="9"/>
      <c r="T67" s="9"/>
      <c r="U67" s="9"/>
      <c r="V67" s="9"/>
    </row>
    <row r="68" spans="1:22" ht="32" customHeight="1">
      <c r="A68" s="1" t="s">
        <v>353</v>
      </c>
      <c r="B68" s="9"/>
      <c r="C68" s="9"/>
      <c r="D68" s="9"/>
      <c r="E68" s="9"/>
      <c r="F68" s="9"/>
      <c r="G68" s="9"/>
      <c r="H68" s="9"/>
      <c r="I68" s="11"/>
      <c r="J68" s="11"/>
      <c r="K68" s="11"/>
      <c r="L68" s="12">
        <f>IF(AND(ISNUMBER(I68),ISNUMBER(J68),J68&gt;=I68),(J68-I68)*1440,"")</f>
        <v/>
      </c>
      <c r="M68" s="12">
        <f>IF(AND(ISNUMBER(I68),ISNUMBER(K68),K68&gt;=I68),(K68-I68)*1440,"")</f>
        <v/>
      </c>
      <c r="N68" s="9" t="s">
        <v>24</v>
      </c>
      <c r="O68" s="1">
        <f>IF(N68="Not Run","",IF(AND(OR(N68="Delivered",N68="Received; receipt pending"),NOT(ISNUMBER(L68))),"Enter valid send and arrival timestamps",IF(AND(N68="Delivered",NOT(ISNUMBER(M68))),"Enter valid sender Delivered timestamp",IF(AND(ISNUMBER(J68),ISNUMBER(K68),K68&lt;J68),"Check clock order: receipt precedes arrival",""))))</f>
        <v/>
      </c>
      <c r="P68" s="9"/>
      <c r="Q68" s="9"/>
      <c r="R68" s="9"/>
      <c r="S68" s="9"/>
      <c r="T68" s="9"/>
      <c r="U68" s="9"/>
      <c r="V68" s="9"/>
    </row>
    <row r="69" spans="1:22" ht="32" customHeight="1">
      <c r="A69" s="1" t="s">
        <v>354</v>
      </c>
      <c r="B69" s="9"/>
      <c r="C69" s="9"/>
      <c r="D69" s="9"/>
      <c r="E69" s="9"/>
      <c r="F69" s="9"/>
      <c r="G69" s="9"/>
      <c r="H69" s="9"/>
      <c r="I69" s="11"/>
      <c r="J69" s="11"/>
      <c r="K69" s="11"/>
      <c r="L69" s="12">
        <f>IF(AND(ISNUMBER(I69),ISNUMBER(J69),J69&gt;=I69),(J69-I69)*1440,"")</f>
        <v/>
      </c>
      <c r="M69" s="12">
        <f>IF(AND(ISNUMBER(I69),ISNUMBER(K69),K69&gt;=I69),(K69-I69)*1440,"")</f>
        <v/>
      </c>
      <c r="N69" s="9" t="s">
        <v>24</v>
      </c>
      <c r="O69" s="1">
        <f>IF(N69="Not Run","",IF(AND(OR(N69="Delivered",N69="Received; receipt pending"),NOT(ISNUMBER(L69))),"Enter valid send and arrival timestamps",IF(AND(N69="Delivered",NOT(ISNUMBER(M69))),"Enter valid sender Delivered timestamp",IF(AND(ISNUMBER(J69),ISNUMBER(K69),K69&lt;J69),"Check clock order: receipt precedes arrival",""))))</f>
        <v/>
      </c>
      <c r="P69" s="9"/>
      <c r="Q69" s="9"/>
      <c r="R69" s="9"/>
      <c r="S69" s="9"/>
      <c r="T69" s="9"/>
      <c r="U69" s="9"/>
      <c r="V69" s="9"/>
    </row>
    <row r="70" spans="1:22" ht="32" customHeight="1">
      <c r="A70" s="1" t="s">
        <v>355</v>
      </c>
      <c r="B70" s="9"/>
      <c r="C70" s="9"/>
      <c r="D70" s="9"/>
      <c r="E70" s="9"/>
      <c r="F70" s="9"/>
      <c r="G70" s="9"/>
      <c r="H70" s="9"/>
      <c r="I70" s="11"/>
      <c r="J70" s="11"/>
      <c r="K70" s="11"/>
      <c r="L70" s="12">
        <f>IF(AND(ISNUMBER(I70),ISNUMBER(J70),J70&gt;=I70),(J70-I70)*1440,"")</f>
        <v/>
      </c>
      <c r="M70" s="12">
        <f>IF(AND(ISNUMBER(I70),ISNUMBER(K70),K70&gt;=I70),(K70-I70)*1440,"")</f>
        <v/>
      </c>
      <c r="N70" s="9" t="s">
        <v>24</v>
      </c>
      <c r="O70" s="1">
        <f>IF(N70="Not Run","",IF(AND(OR(N70="Delivered",N70="Received; receipt pending"),NOT(ISNUMBER(L70))),"Enter valid send and arrival timestamps",IF(AND(N70="Delivered",NOT(ISNUMBER(M70))),"Enter valid sender Delivered timestamp",IF(AND(ISNUMBER(J70),ISNUMBER(K70),K70&lt;J70),"Check clock order: receipt precedes arrival",""))))</f>
        <v/>
      </c>
      <c r="P70" s="9"/>
      <c r="Q70" s="9"/>
      <c r="R70" s="9"/>
      <c r="S70" s="9"/>
      <c r="T70" s="9"/>
      <c r="U70" s="9"/>
      <c r="V70" s="9"/>
    </row>
    <row r="71" spans="1:22" ht="32" customHeight="1">
      <c r="A71" s="1" t="s">
        <v>356</v>
      </c>
      <c r="B71" s="9"/>
      <c r="C71" s="9"/>
      <c r="D71" s="9"/>
      <c r="E71" s="9"/>
      <c r="F71" s="9"/>
      <c r="G71" s="9"/>
      <c r="H71" s="9"/>
      <c r="I71" s="11"/>
      <c r="J71" s="11"/>
      <c r="K71" s="11"/>
      <c r="L71" s="12">
        <f>IF(AND(ISNUMBER(I71),ISNUMBER(J71),J71&gt;=I71),(J71-I71)*1440,"")</f>
        <v/>
      </c>
      <c r="M71" s="12">
        <f>IF(AND(ISNUMBER(I71),ISNUMBER(K71),K71&gt;=I71),(K71-I71)*1440,"")</f>
        <v/>
      </c>
      <c r="N71" s="9" t="s">
        <v>24</v>
      </c>
      <c r="O71" s="1">
        <f>IF(N71="Not Run","",IF(AND(OR(N71="Delivered",N71="Received; receipt pending"),NOT(ISNUMBER(L71))),"Enter valid send and arrival timestamps",IF(AND(N71="Delivered",NOT(ISNUMBER(M71))),"Enter valid sender Delivered timestamp",IF(AND(ISNUMBER(J71),ISNUMBER(K71),K71&lt;J71),"Check clock order: receipt precedes arrival",""))))</f>
        <v/>
      </c>
      <c r="P71" s="9"/>
      <c r="Q71" s="9"/>
      <c r="R71" s="9"/>
      <c r="S71" s="9"/>
      <c r="T71" s="9"/>
      <c r="U71" s="9"/>
      <c r="V71" s="9"/>
    </row>
    <row r="72" spans="1:22" ht="32" customHeight="1">
      <c r="A72" s="1" t="s">
        <v>357</v>
      </c>
      <c r="B72" s="9"/>
      <c r="C72" s="9"/>
      <c r="D72" s="9"/>
      <c r="E72" s="9"/>
      <c r="F72" s="9"/>
      <c r="G72" s="9"/>
      <c r="H72" s="9"/>
      <c r="I72" s="11"/>
      <c r="J72" s="11"/>
      <c r="K72" s="11"/>
      <c r="L72" s="12">
        <f>IF(AND(ISNUMBER(I72),ISNUMBER(J72),J72&gt;=I72),(J72-I72)*1440,"")</f>
        <v/>
      </c>
      <c r="M72" s="12">
        <f>IF(AND(ISNUMBER(I72),ISNUMBER(K72),K72&gt;=I72),(K72-I72)*1440,"")</f>
        <v/>
      </c>
      <c r="N72" s="9" t="s">
        <v>24</v>
      </c>
      <c r="O72" s="1">
        <f>IF(N72="Not Run","",IF(AND(OR(N72="Delivered",N72="Received; receipt pending"),NOT(ISNUMBER(L72))),"Enter valid send and arrival timestamps",IF(AND(N72="Delivered",NOT(ISNUMBER(M72))),"Enter valid sender Delivered timestamp",IF(AND(ISNUMBER(J72),ISNUMBER(K72),K72&lt;J72),"Check clock order: receipt precedes arrival",""))))</f>
        <v/>
      </c>
      <c r="P72" s="9"/>
      <c r="Q72" s="9"/>
      <c r="R72" s="9"/>
      <c r="S72" s="9"/>
      <c r="T72" s="9"/>
      <c r="U72" s="9"/>
      <c r="V72" s="9"/>
    </row>
    <row r="73" spans="1:22" ht="32" customHeight="1">
      <c r="A73" s="1" t="s">
        <v>358</v>
      </c>
      <c r="B73" s="9"/>
      <c r="C73" s="9"/>
      <c r="D73" s="9"/>
      <c r="E73" s="9"/>
      <c r="F73" s="9"/>
      <c r="G73" s="9"/>
      <c r="H73" s="9"/>
      <c r="I73" s="11"/>
      <c r="J73" s="11"/>
      <c r="K73" s="11"/>
      <c r="L73" s="12">
        <f>IF(AND(ISNUMBER(I73),ISNUMBER(J73),J73&gt;=I73),(J73-I73)*1440,"")</f>
        <v/>
      </c>
      <c r="M73" s="12">
        <f>IF(AND(ISNUMBER(I73),ISNUMBER(K73),K73&gt;=I73),(K73-I73)*1440,"")</f>
        <v/>
      </c>
      <c r="N73" s="9" t="s">
        <v>24</v>
      </c>
      <c r="O73" s="1">
        <f>IF(N73="Not Run","",IF(AND(OR(N73="Delivered",N73="Received; receipt pending"),NOT(ISNUMBER(L73))),"Enter valid send and arrival timestamps",IF(AND(N73="Delivered",NOT(ISNUMBER(M73))),"Enter valid sender Delivered timestamp",IF(AND(ISNUMBER(J73),ISNUMBER(K73),K73&lt;J73),"Check clock order: receipt precedes arrival",""))))</f>
        <v/>
      </c>
      <c r="P73" s="9"/>
      <c r="Q73" s="9"/>
      <c r="R73" s="9"/>
      <c r="S73" s="9"/>
      <c r="T73" s="9"/>
      <c r="U73" s="9"/>
      <c r="V73" s="9"/>
    </row>
    <row r="74" spans="1:22" ht="32" customHeight="1">
      <c r="A74" s="1" t="s">
        <v>359</v>
      </c>
      <c r="B74" s="9"/>
      <c r="C74" s="9"/>
      <c r="D74" s="9"/>
      <c r="E74" s="9"/>
      <c r="F74" s="9"/>
      <c r="G74" s="9"/>
      <c r="H74" s="9"/>
      <c r="I74" s="11"/>
      <c r="J74" s="11"/>
      <c r="K74" s="11"/>
      <c r="L74" s="12">
        <f>IF(AND(ISNUMBER(I74),ISNUMBER(J74),J74&gt;=I74),(J74-I74)*1440,"")</f>
        <v/>
      </c>
      <c r="M74" s="12">
        <f>IF(AND(ISNUMBER(I74),ISNUMBER(K74),K74&gt;=I74),(K74-I74)*1440,"")</f>
        <v/>
      </c>
      <c r="N74" s="9" t="s">
        <v>24</v>
      </c>
      <c r="O74" s="1">
        <f>IF(N74="Not Run","",IF(AND(OR(N74="Delivered",N74="Received; receipt pending"),NOT(ISNUMBER(L74))),"Enter valid send and arrival timestamps",IF(AND(N74="Delivered",NOT(ISNUMBER(M74))),"Enter valid sender Delivered timestamp",IF(AND(ISNUMBER(J74),ISNUMBER(K74),K74&lt;J74),"Check clock order: receipt precedes arrival",""))))</f>
        <v/>
      </c>
      <c r="P74" s="9"/>
      <c r="Q74" s="9"/>
      <c r="R74" s="9"/>
      <c r="S74" s="9"/>
      <c r="T74" s="9"/>
      <c r="U74" s="9"/>
      <c r="V74" s="9"/>
    </row>
    <row r="75" spans="1:22" ht="32" customHeight="1">
      <c r="A75" s="1" t="s">
        <v>360</v>
      </c>
      <c r="B75" s="9"/>
      <c r="C75" s="9"/>
      <c r="D75" s="9"/>
      <c r="E75" s="9"/>
      <c r="F75" s="9"/>
      <c r="G75" s="9"/>
      <c r="H75" s="9"/>
      <c r="I75" s="11"/>
      <c r="J75" s="11"/>
      <c r="K75" s="11"/>
      <c r="L75" s="12">
        <f>IF(AND(ISNUMBER(I75),ISNUMBER(J75),J75&gt;=I75),(J75-I75)*1440,"")</f>
        <v/>
      </c>
      <c r="M75" s="12">
        <f>IF(AND(ISNUMBER(I75),ISNUMBER(K75),K75&gt;=I75),(K75-I75)*1440,"")</f>
        <v/>
      </c>
      <c r="N75" s="9" t="s">
        <v>24</v>
      </c>
      <c r="O75" s="1">
        <f>IF(N75="Not Run","",IF(AND(OR(N75="Delivered",N75="Received; receipt pending"),NOT(ISNUMBER(L75))),"Enter valid send and arrival timestamps",IF(AND(N75="Delivered",NOT(ISNUMBER(M75))),"Enter valid sender Delivered timestamp",IF(AND(ISNUMBER(J75),ISNUMBER(K75),K75&lt;J75),"Check clock order: receipt precedes arrival",""))))</f>
        <v/>
      </c>
      <c r="P75" s="9"/>
      <c r="Q75" s="9"/>
      <c r="R75" s="9"/>
      <c r="S75" s="9"/>
      <c r="T75" s="9"/>
      <c r="U75" s="9"/>
      <c r="V75" s="9"/>
    </row>
    <row r="76" spans="1:22" ht="32" customHeight="1">
      <c r="A76" s="1" t="s">
        <v>361</v>
      </c>
      <c r="B76" s="9"/>
      <c r="C76" s="9"/>
      <c r="D76" s="9"/>
      <c r="E76" s="9"/>
      <c r="F76" s="9"/>
      <c r="G76" s="9"/>
      <c r="H76" s="9"/>
      <c r="I76" s="11"/>
      <c r="J76" s="11"/>
      <c r="K76" s="11"/>
      <c r="L76" s="12">
        <f>IF(AND(ISNUMBER(I76),ISNUMBER(J76),J76&gt;=I76),(J76-I76)*1440,"")</f>
        <v/>
      </c>
      <c r="M76" s="12">
        <f>IF(AND(ISNUMBER(I76),ISNUMBER(K76),K76&gt;=I76),(K76-I76)*1440,"")</f>
        <v/>
      </c>
      <c r="N76" s="9" t="s">
        <v>24</v>
      </c>
      <c r="O76" s="1">
        <f>IF(N76="Not Run","",IF(AND(OR(N76="Delivered",N76="Received; receipt pending"),NOT(ISNUMBER(L76))),"Enter valid send and arrival timestamps",IF(AND(N76="Delivered",NOT(ISNUMBER(M76))),"Enter valid sender Delivered timestamp",IF(AND(ISNUMBER(J76),ISNUMBER(K76),K76&lt;J76),"Check clock order: receipt precedes arrival",""))))</f>
        <v/>
      </c>
      <c r="P76" s="9"/>
      <c r="Q76" s="9"/>
      <c r="R76" s="9"/>
      <c r="S76" s="9"/>
      <c r="T76" s="9"/>
      <c r="U76" s="9"/>
      <c r="V76" s="9"/>
    </row>
    <row r="77" spans="1:22" ht="32" customHeight="1">
      <c r="A77" s="1" t="s">
        <v>362</v>
      </c>
      <c r="B77" s="9"/>
      <c r="C77" s="9"/>
      <c r="D77" s="9"/>
      <c r="E77" s="9"/>
      <c r="F77" s="9"/>
      <c r="G77" s="9"/>
      <c r="H77" s="9"/>
      <c r="I77" s="11"/>
      <c r="J77" s="11"/>
      <c r="K77" s="11"/>
      <c r="L77" s="12">
        <f>IF(AND(ISNUMBER(I77),ISNUMBER(J77),J77&gt;=I77),(J77-I77)*1440,"")</f>
        <v/>
      </c>
      <c r="M77" s="12">
        <f>IF(AND(ISNUMBER(I77),ISNUMBER(K77),K77&gt;=I77),(K77-I77)*1440,"")</f>
        <v/>
      </c>
      <c r="N77" s="9" t="s">
        <v>24</v>
      </c>
      <c r="O77" s="1">
        <f>IF(N77="Not Run","",IF(AND(OR(N77="Delivered",N77="Received; receipt pending"),NOT(ISNUMBER(L77))),"Enter valid send and arrival timestamps",IF(AND(N77="Delivered",NOT(ISNUMBER(M77))),"Enter valid sender Delivered timestamp",IF(AND(ISNUMBER(J77),ISNUMBER(K77),K77&lt;J77),"Check clock order: receipt precedes arrival",""))))</f>
        <v/>
      </c>
      <c r="P77" s="9"/>
      <c r="Q77" s="9"/>
      <c r="R77" s="9"/>
      <c r="S77" s="9"/>
      <c r="T77" s="9"/>
      <c r="U77" s="9"/>
      <c r="V77" s="9"/>
    </row>
    <row r="78" spans="1:22" ht="32" customHeight="1">
      <c r="A78" s="1" t="s">
        <v>363</v>
      </c>
      <c r="B78" s="9"/>
      <c r="C78" s="9"/>
      <c r="D78" s="9"/>
      <c r="E78" s="9"/>
      <c r="F78" s="9"/>
      <c r="G78" s="9"/>
      <c r="H78" s="9"/>
      <c r="I78" s="11"/>
      <c r="J78" s="11"/>
      <c r="K78" s="11"/>
      <c r="L78" s="12">
        <f>IF(AND(ISNUMBER(I78),ISNUMBER(J78),J78&gt;=I78),(J78-I78)*1440,"")</f>
        <v/>
      </c>
      <c r="M78" s="12">
        <f>IF(AND(ISNUMBER(I78),ISNUMBER(K78),K78&gt;=I78),(K78-I78)*1440,"")</f>
        <v/>
      </c>
      <c r="N78" s="9" t="s">
        <v>24</v>
      </c>
      <c r="O78" s="1">
        <f>IF(N78="Not Run","",IF(AND(OR(N78="Delivered",N78="Received; receipt pending"),NOT(ISNUMBER(L78))),"Enter valid send and arrival timestamps",IF(AND(N78="Delivered",NOT(ISNUMBER(M78))),"Enter valid sender Delivered timestamp",IF(AND(ISNUMBER(J78),ISNUMBER(K78),K78&lt;J78),"Check clock order: receipt precedes arrival",""))))</f>
        <v/>
      </c>
      <c r="P78" s="9"/>
      <c r="Q78" s="9"/>
      <c r="R78" s="9"/>
      <c r="S78" s="9"/>
      <c r="T78" s="9"/>
      <c r="U78" s="9"/>
      <c r="V78" s="9"/>
    </row>
    <row r="79" spans="1:22" ht="32" customHeight="1">
      <c r="A79" s="1" t="s">
        <v>364</v>
      </c>
      <c r="B79" s="9"/>
      <c r="C79" s="9"/>
      <c r="D79" s="9"/>
      <c r="E79" s="9"/>
      <c r="F79" s="9"/>
      <c r="G79" s="9"/>
      <c r="H79" s="9"/>
      <c r="I79" s="11"/>
      <c r="J79" s="11"/>
      <c r="K79" s="11"/>
      <c r="L79" s="12">
        <f>IF(AND(ISNUMBER(I79),ISNUMBER(J79),J79&gt;=I79),(J79-I79)*1440,"")</f>
        <v/>
      </c>
      <c r="M79" s="12">
        <f>IF(AND(ISNUMBER(I79),ISNUMBER(K79),K79&gt;=I79),(K79-I79)*1440,"")</f>
        <v/>
      </c>
      <c r="N79" s="9" t="s">
        <v>24</v>
      </c>
      <c r="O79" s="1">
        <f>IF(N79="Not Run","",IF(AND(OR(N79="Delivered",N79="Received; receipt pending"),NOT(ISNUMBER(L79))),"Enter valid send and arrival timestamps",IF(AND(N79="Delivered",NOT(ISNUMBER(M79))),"Enter valid sender Delivered timestamp",IF(AND(ISNUMBER(J79),ISNUMBER(K79),K79&lt;J79),"Check clock order: receipt precedes arrival",""))))</f>
        <v/>
      </c>
      <c r="P79" s="9"/>
      <c r="Q79" s="9"/>
      <c r="R79" s="9"/>
      <c r="S79" s="9"/>
      <c r="T79" s="9"/>
      <c r="U79" s="9"/>
      <c r="V79" s="9"/>
    </row>
    <row r="80" spans="1:22" ht="32" customHeight="1">
      <c r="A80" s="1" t="s">
        <v>365</v>
      </c>
      <c r="B80" s="9"/>
      <c r="C80" s="9"/>
      <c r="D80" s="9"/>
      <c r="E80" s="9"/>
      <c r="F80" s="9"/>
      <c r="G80" s="9"/>
      <c r="H80" s="9"/>
      <c r="I80" s="11"/>
      <c r="J80" s="11"/>
      <c r="K80" s="11"/>
      <c r="L80" s="12">
        <f>IF(AND(ISNUMBER(I80),ISNUMBER(J80),J80&gt;=I80),(J80-I80)*1440,"")</f>
        <v/>
      </c>
      <c r="M80" s="12">
        <f>IF(AND(ISNUMBER(I80),ISNUMBER(K80),K80&gt;=I80),(K80-I80)*1440,"")</f>
        <v/>
      </c>
      <c r="N80" s="9" t="s">
        <v>24</v>
      </c>
      <c r="O80" s="1">
        <f>IF(N80="Not Run","",IF(AND(OR(N80="Delivered",N80="Received; receipt pending"),NOT(ISNUMBER(L80))),"Enter valid send and arrival timestamps",IF(AND(N80="Delivered",NOT(ISNUMBER(M80))),"Enter valid sender Delivered timestamp",IF(AND(ISNUMBER(J80),ISNUMBER(K80),K80&lt;J80),"Check clock order: receipt precedes arrival",""))))</f>
        <v/>
      </c>
      <c r="P80" s="9"/>
      <c r="Q80" s="9"/>
      <c r="R80" s="9"/>
      <c r="S80" s="9"/>
      <c r="T80" s="9"/>
      <c r="U80" s="9"/>
      <c r="V80" s="9"/>
    </row>
    <row r="81" spans="1:22" ht="32" customHeight="1">
      <c r="A81" s="1" t="s">
        <v>366</v>
      </c>
      <c r="B81" s="9"/>
      <c r="C81" s="9"/>
      <c r="D81" s="9"/>
      <c r="E81" s="9"/>
      <c r="F81" s="9"/>
      <c r="G81" s="9"/>
      <c r="H81" s="9"/>
      <c r="I81" s="11"/>
      <c r="J81" s="11"/>
      <c r="K81" s="11"/>
      <c r="L81" s="12">
        <f>IF(AND(ISNUMBER(I81),ISNUMBER(J81),J81&gt;=I81),(J81-I81)*1440,"")</f>
        <v/>
      </c>
      <c r="M81" s="12">
        <f>IF(AND(ISNUMBER(I81),ISNUMBER(K81),K81&gt;=I81),(K81-I81)*1440,"")</f>
        <v/>
      </c>
      <c r="N81" s="9" t="s">
        <v>24</v>
      </c>
      <c r="O81" s="1">
        <f>IF(N81="Not Run","",IF(AND(OR(N81="Delivered",N81="Received; receipt pending"),NOT(ISNUMBER(L81))),"Enter valid send and arrival timestamps",IF(AND(N81="Delivered",NOT(ISNUMBER(M81))),"Enter valid sender Delivered timestamp",IF(AND(ISNUMBER(J81),ISNUMBER(K81),K81&lt;J81),"Check clock order: receipt precedes arrival",""))))</f>
        <v/>
      </c>
      <c r="P81" s="9"/>
      <c r="Q81" s="9"/>
      <c r="R81" s="9"/>
      <c r="S81" s="9"/>
      <c r="T81" s="9"/>
      <c r="U81" s="9"/>
      <c r="V81" s="9"/>
    </row>
    <row r="82" spans="1:22" ht="32" customHeight="1">
      <c r="A82" s="1" t="s">
        <v>367</v>
      </c>
      <c r="B82" s="9"/>
      <c r="C82" s="9"/>
      <c r="D82" s="9"/>
      <c r="E82" s="9"/>
      <c r="F82" s="9"/>
      <c r="G82" s="9"/>
      <c r="H82" s="9"/>
      <c r="I82" s="11"/>
      <c r="J82" s="11"/>
      <c r="K82" s="11"/>
      <c r="L82" s="12">
        <f>IF(AND(ISNUMBER(I82),ISNUMBER(J82),J82&gt;=I82),(J82-I82)*1440,"")</f>
        <v/>
      </c>
      <c r="M82" s="12">
        <f>IF(AND(ISNUMBER(I82),ISNUMBER(K82),K82&gt;=I82),(K82-I82)*1440,"")</f>
        <v/>
      </c>
      <c r="N82" s="9" t="s">
        <v>24</v>
      </c>
      <c r="O82" s="1">
        <f>IF(N82="Not Run","",IF(AND(OR(N82="Delivered",N82="Received; receipt pending"),NOT(ISNUMBER(L82))),"Enter valid send and arrival timestamps",IF(AND(N82="Delivered",NOT(ISNUMBER(M82))),"Enter valid sender Delivered timestamp",IF(AND(ISNUMBER(J82),ISNUMBER(K82),K82&lt;J82),"Check clock order: receipt precedes arrival",""))))</f>
        <v/>
      </c>
      <c r="P82" s="9"/>
      <c r="Q82" s="9"/>
      <c r="R82" s="9"/>
      <c r="S82" s="9"/>
      <c r="T82" s="9"/>
      <c r="U82" s="9"/>
      <c r="V82" s="9"/>
    </row>
    <row r="83" spans="1:22" ht="32" customHeight="1">
      <c r="A83" s="1" t="s">
        <v>368</v>
      </c>
      <c r="B83" s="9"/>
      <c r="C83" s="9"/>
      <c r="D83" s="9"/>
      <c r="E83" s="9"/>
      <c r="F83" s="9"/>
      <c r="G83" s="9"/>
      <c r="H83" s="9"/>
      <c r="I83" s="11"/>
      <c r="J83" s="11"/>
      <c r="K83" s="11"/>
      <c r="L83" s="12">
        <f>IF(AND(ISNUMBER(I83),ISNUMBER(J83),J83&gt;=I83),(J83-I83)*1440,"")</f>
        <v/>
      </c>
      <c r="M83" s="12">
        <f>IF(AND(ISNUMBER(I83),ISNUMBER(K83),K83&gt;=I83),(K83-I83)*1440,"")</f>
        <v/>
      </c>
      <c r="N83" s="9" t="s">
        <v>24</v>
      </c>
      <c r="O83" s="1">
        <f>IF(N83="Not Run","",IF(AND(OR(N83="Delivered",N83="Received; receipt pending"),NOT(ISNUMBER(L83))),"Enter valid send and arrival timestamps",IF(AND(N83="Delivered",NOT(ISNUMBER(M83))),"Enter valid sender Delivered timestamp",IF(AND(ISNUMBER(J83),ISNUMBER(K83),K83&lt;J83),"Check clock order: receipt precedes arrival",""))))</f>
        <v/>
      </c>
      <c r="P83" s="9"/>
      <c r="Q83" s="9"/>
      <c r="R83" s="9"/>
      <c r="S83" s="9"/>
      <c r="T83" s="9"/>
      <c r="U83" s="9"/>
      <c r="V83" s="9"/>
    </row>
    <row r="84" spans="1:22" ht="32" customHeight="1">
      <c r="A84" s="1" t="s">
        <v>369</v>
      </c>
      <c r="B84" s="9"/>
      <c r="C84" s="9"/>
      <c r="D84" s="9"/>
      <c r="E84" s="9"/>
      <c r="F84" s="9"/>
      <c r="G84" s="9"/>
      <c r="H84" s="9"/>
      <c r="I84" s="11"/>
      <c r="J84" s="11"/>
      <c r="K84" s="11"/>
      <c r="L84" s="12">
        <f>IF(AND(ISNUMBER(I84),ISNUMBER(J84),J84&gt;=I84),(J84-I84)*1440,"")</f>
        <v/>
      </c>
      <c r="M84" s="12">
        <f>IF(AND(ISNUMBER(I84),ISNUMBER(K84),K84&gt;=I84),(K84-I84)*1440,"")</f>
        <v/>
      </c>
      <c r="N84" s="9" t="s">
        <v>24</v>
      </c>
      <c r="O84" s="1">
        <f>IF(N84="Not Run","",IF(AND(OR(N84="Delivered",N84="Received; receipt pending"),NOT(ISNUMBER(L84))),"Enter valid send and arrival timestamps",IF(AND(N84="Delivered",NOT(ISNUMBER(M84))),"Enter valid sender Delivered timestamp",IF(AND(ISNUMBER(J84),ISNUMBER(K84),K84&lt;J84),"Check clock order: receipt precedes arrival",""))))</f>
        <v/>
      </c>
      <c r="P84" s="9"/>
      <c r="Q84" s="9"/>
      <c r="R84" s="9"/>
      <c r="S84" s="9"/>
      <c r="T84" s="9"/>
      <c r="U84" s="9"/>
      <c r="V84" s="9"/>
    </row>
    <row r="85" spans="1:22" ht="32" customHeight="1">
      <c r="A85" s="1" t="s">
        <v>370</v>
      </c>
      <c r="B85" s="9"/>
      <c r="C85" s="9"/>
      <c r="D85" s="9"/>
      <c r="E85" s="9"/>
      <c r="F85" s="9"/>
      <c r="G85" s="9"/>
      <c r="H85" s="9"/>
      <c r="I85" s="11"/>
      <c r="J85" s="11"/>
      <c r="K85" s="11"/>
      <c r="L85" s="12">
        <f>IF(AND(ISNUMBER(I85),ISNUMBER(J85),J85&gt;=I85),(J85-I85)*1440,"")</f>
        <v/>
      </c>
      <c r="M85" s="12">
        <f>IF(AND(ISNUMBER(I85),ISNUMBER(K85),K85&gt;=I85),(K85-I85)*1440,"")</f>
        <v/>
      </c>
      <c r="N85" s="9" t="s">
        <v>24</v>
      </c>
      <c r="O85" s="1">
        <f>IF(N85="Not Run","",IF(AND(OR(N85="Delivered",N85="Received; receipt pending"),NOT(ISNUMBER(L85))),"Enter valid send and arrival timestamps",IF(AND(N85="Delivered",NOT(ISNUMBER(M85))),"Enter valid sender Delivered timestamp",IF(AND(ISNUMBER(J85),ISNUMBER(K85),K85&lt;J85),"Check clock order: receipt precedes arrival",""))))</f>
        <v/>
      </c>
      <c r="P85" s="9"/>
      <c r="Q85" s="9"/>
      <c r="R85" s="9"/>
      <c r="S85" s="9"/>
      <c r="T85" s="9"/>
      <c r="U85" s="9"/>
      <c r="V85" s="9"/>
    </row>
    <row r="86" spans="1:22" ht="32" customHeight="1">
      <c r="A86" s="1" t="s">
        <v>371</v>
      </c>
      <c r="B86" s="9"/>
      <c r="C86" s="9"/>
      <c r="D86" s="9"/>
      <c r="E86" s="9"/>
      <c r="F86" s="9"/>
      <c r="G86" s="9"/>
      <c r="H86" s="9"/>
      <c r="I86" s="11"/>
      <c r="J86" s="11"/>
      <c r="K86" s="11"/>
      <c r="L86" s="12">
        <f>IF(AND(ISNUMBER(I86),ISNUMBER(J86),J86&gt;=I86),(J86-I86)*1440,"")</f>
        <v/>
      </c>
      <c r="M86" s="12">
        <f>IF(AND(ISNUMBER(I86),ISNUMBER(K86),K86&gt;=I86),(K86-I86)*1440,"")</f>
        <v/>
      </c>
      <c r="N86" s="9" t="s">
        <v>24</v>
      </c>
      <c r="O86" s="1">
        <f>IF(N86="Not Run","",IF(AND(OR(N86="Delivered",N86="Received; receipt pending"),NOT(ISNUMBER(L86))),"Enter valid send and arrival timestamps",IF(AND(N86="Delivered",NOT(ISNUMBER(M86))),"Enter valid sender Delivered timestamp",IF(AND(ISNUMBER(J86),ISNUMBER(K86),K86&lt;J86),"Check clock order: receipt precedes arrival",""))))</f>
        <v/>
      </c>
      <c r="P86" s="9"/>
      <c r="Q86" s="9"/>
      <c r="R86" s="9"/>
      <c r="S86" s="9"/>
      <c r="T86" s="9"/>
      <c r="U86" s="9"/>
      <c r="V86" s="9"/>
    </row>
    <row r="87" spans="1:22" ht="32" customHeight="1">
      <c r="A87" s="1" t="s">
        <v>372</v>
      </c>
      <c r="B87" s="9"/>
      <c r="C87" s="9"/>
      <c r="D87" s="9"/>
      <c r="E87" s="9"/>
      <c r="F87" s="9"/>
      <c r="G87" s="9"/>
      <c r="H87" s="9"/>
      <c r="I87" s="11"/>
      <c r="J87" s="11"/>
      <c r="K87" s="11"/>
      <c r="L87" s="12">
        <f>IF(AND(ISNUMBER(I87),ISNUMBER(J87),J87&gt;=I87),(J87-I87)*1440,"")</f>
        <v/>
      </c>
      <c r="M87" s="12">
        <f>IF(AND(ISNUMBER(I87),ISNUMBER(K87),K87&gt;=I87),(K87-I87)*1440,"")</f>
        <v/>
      </c>
      <c r="N87" s="9" t="s">
        <v>24</v>
      </c>
      <c r="O87" s="1">
        <f>IF(N87="Not Run","",IF(AND(OR(N87="Delivered",N87="Received; receipt pending"),NOT(ISNUMBER(L87))),"Enter valid send and arrival timestamps",IF(AND(N87="Delivered",NOT(ISNUMBER(M87))),"Enter valid sender Delivered timestamp",IF(AND(ISNUMBER(J87),ISNUMBER(K87),K87&lt;J87),"Check clock order: receipt precedes arrival",""))))</f>
        <v/>
      </c>
      <c r="P87" s="9"/>
      <c r="Q87" s="9"/>
      <c r="R87" s="9"/>
      <c r="S87" s="9"/>
      <c r="T87" s="9"/>
      <c r="U87" s="9"/>
      <c r="V87" s="9"/>
    </row>
    <row r="88" spans="1:22" ht="32" customHeight="1">
      <c r="A88" s="1" t="s">
        <v>373</v>
      </c>
      <c r="B88" s="9"/>
      <c r="C88" s="9"/>
      <c r="D88" s="9"/>
      <c r="E88" s="9"/>
      <c r="F88" s="9"/>
      <c r="G88" s="9"/>
      <c r="H88" s="9"/>
      <c r="I88" s="11"/>
      <c r="J88" s="11"/>
      <c r="K88" s="11"/>
      <c r="L88" s="12">
        <f>IF(AND(ISNUMBER(I88),ISNUMBER(J88),J88&gt;=I88),(J88-I88)*1440,"")</f>
        <v/>
      </c>
      <c r="M88" s="12">
        <f>IF(AND(ISNUMBER(I88),ISNUMBER(K88),K88&gt;=I88),(K88-I88)*1440,"")</f>
        <v/>
      </c>
      <c r="N88" s="9" t="s">
        <v>24</v>
      </c>
      <c r="O88" s="1">
        <f>IF(N88="Not Run","",IF(AND(OR(N88="Delivered",N88="Received; receipt pending"),NOT(ISNUMBER(L88))),"Enter valid send and arrival timestamps",IF(AND(N88="Delivered",NOT(ISNUMBER(M88))),"Enter valid sender Delivered timestamp",IF(AND(ISNUMBER(J88),ISNUMBER(K88),K88&lt;J88),"Check clock order: receipt precedes arrival",""))))</f>
        <v/>
      </c>
      <c r="P88" s="9"/>
      <c r="Q88" s="9"/>
      <c r="R88" s="9"/>
      <c r="S88" s="9"/>
      <c r="T88" s="9"/>
      <c r="U88" s="9"/>
      <c r="V88" s="9"/>
    </row>
    <row r="89" spans="1:22" ht="32" customHeight="1">
      <c r="A89" s="1" t="s">
        <v>374</v>
      </c>
      <c r="B89" s="9"/>
      <c r="C89" s="9"/>
      <c r="D89" s="9"/>
      <c r="E89" s="9"/>
      <c r="F89" s="9"/>
      <c r="G89" s="9"/>
      <c r="H89" s="9"/>
      <c r="I89" s="11"/>
      <c r="J89" s="11"/>
      <c r="K89" s="11"/>
      <c r="L89" s="12">
        <f>IF(AND(ISNUMBER(I89),ISNUMBER(J89),J89&gt;=I89),(J89-I89)*1440,"")</f>
        <v/>
      </c>
      <c r="M89" s="12">
        <f>IF(AND(ISNUMBER(I89),ISNUMBER(K89),K89&gt;=I89),(K89-I89)*1440,"")</f>
        <v/>
      </c>
      <c r="N89" s="9" t="s">
        <v>24</v>
      </c>
      <c r="O89" s="1">
        <f>IF(N89="Not Run","",IF(AND(OR(N89="Delivered",N89="Received; receipt pending"),NOT(ISNUMBER(L89))),"Enter valid send and arrival timestamps",IF(AND(N89="Delivered",NOT(ISNUMBER(M89))),"Enter valid sender Delivered timestamp",IF(AND(ISNUMBER(J89),ISNUMBER(K89),K89&lt;J89),"Check clock order: receipt precedes arrival",""))))</f>
        <v/>
      </c>
      <c r="P89" s="9"/>
      <c r="Q89" s="9"/>
      <c r="R89" s="9"/>
      <c r="S89" s="9"/>
      <c r="T89" s="9"/>
      <c r="U89" s="9"/>
      <c r="V89" s="9"/>
    </row>
    <row r="90" spans="1:22" ht="32" customHeight="1">
      <c r="A90" s="1" t="s">
        <v>375</v>
      </c>
      <c r="B90" s="9"/>
      <c r="C90" s="9"/>
      <c r="D90" s="9"/>
      <c r="E90" s="9"/>
      <c r="F90" s="9"/>
      <c r="G90" s="9"/>
      <c r="H90" s="9"/>
      <c r="I90" s="11"/>
      <c r="J90" s="11"/>
      <c r="K90" s="11"/>
      <c r="L90" s="12">
        <f>IF(AND(ISNUMBER(I90),ISNUMBER(J90),J90&gt;=I90),(J90-I90)*1440,"")</f>
        <v/>
      </c>
      <c r="M90" s="12">
        <f>IF(AND(ISNUMBER(I90),ISNUMBER(K90),K90&gt;=I90),(K90-I90)*1440,"")</f>
        <v/>
      </c>
      <c r="N90" s="9" t="s">
        <v>24</v>
      </c>
      <c r="O90" s="1">
        <f>IF(N90="Not Run","",IF(AND(OR(N90="Delivered",N90="Received; receipt pending"),NOT(ISNUMBER(L90))),"Enter valid send and arrival timestamps",IF(AND(N90="Delivered",NOT(ISNUMBER(M90))),"Enter valid sender Delivered timestamp",IF(AND(ISNUMBER(J90),ISNUMBER(K90),K90&lt;J90),"Check clock order: receipt precedes arrival",""))))</f>
        <v/>
      </c>
      <c r="P90" s="9"/>
      <c r="Q90" s="9"/>
      <c r="R90" s="9"/>
      <c r="S90" s="9"/>
      <c r="T90" s="9"/>
      <c r="U90" s="9"/>
      <c r="V90" s="9"/>
    </row>
    <row r="91" spans="1:22" ht="32" customHeight="1">
      <c r="A91" s="1" t="s">
        <v>376</v>
      </c>
      <c r="B91" s="9"/>
      <c r="C91" s="9"/>
      <c r="D91" s="9"/>
      <c r="E91" s="9"/>
      <c r="F91" s="9"/>
      <c r="G91" s="9"/>
      <c r="H91" s="9"/>
      <c r="I91" s="11"/>
      <c r="J91" s="11"/>
      <c r="K91" s="11"/>
      <c r="L91" s="12">
        <f>IF(AND(ISNUMBER(I91),ISNUMBER(J91),J91&gt;=I91),(J91-I91)*1440,"")</f>
        <v/>
      </c>
      <c r="M91" s="12">
        <f>IF(AND(ISNUMBER(I91),ISNUMBER(K91),K91&gt;=I91),(K91-I91)*1440,"")</f>
        <v/>
      </c>
      <c r="N91" s="9" t="s">
        <v>24</v>
      </c>
      <c r="O91" s="1">
        <f>IF(N91="Not Run","",IF(AND(OR(N91="Delivered",N91="Received; receipt pending"),NOT(ISNUMBER(L91))),"Enter valid send and arrival timestamps",IF(AND(N91="Delivered",NOT(ISNUMBER(M91))),"Enter valid sender Delivered timestamp",IF(AND(ISNUMBER(J91),ISNUMBER(K91),K91&lt;J91),"Check clock order: receipt precedes arrival",""))))</f>
        <v/>
      </c>
      <c r="P91" s="9"/>
      <c r="Q91" s="9"/>
      <c r="R91" s="9"/>
      <c r="S91" s="9"/>
      <c r="T91" s="9"/>
      <c r="U91" s="9"/>
      <c r="V91" s="9"/>
    </row>
    <row r="92" spans="1:22" ht="32" customHeight="1">
      <c r="A92" s="1" t="s">
        <v>377</v>
      </c>
      <c r="B92" s="9"/>
      <c r="C92" s="9"/>
      <c r="D92" s="9"/>
      <c r="E92" s="9"/>
      <c r="F92" s="9"/>
      <c r="G92" s="9"/>
      <c r="H92" s="9"/>
      <c r="I92" s="11"/>
      <c r="J92" s="11"/>
      <c r="K92" s="11"/>
      <c r="L92" s="12">
        <f>IF(AND(ISNUMBER(I92),ISNUMBER(J92),J92&gt;=I92),(J92-I92)*1440,"")</f>
        <v/>
      </c>
      <c r="M92" s="12">
        <f>IF(AND(ISNUMBER(I92),ISNUMBER(K92),K92&gt;=I92),(K92-I92)*1440,"")</f>
        <v/>
      </c>
      <c r="N92" s="9" t="s">
        <v>24</v>
      </c>
      <c r="O92" s="1">
        <f>IF(N92="Not Run","",IF(AND(OR(N92="Delivered",N92="Received; receipt pending"),NOT(ISNUMBER(L92))),"Enter valid send and arrival timestamps",IF(AND(N92="Delivered",NOT(ISNUMBER(M92))),"Enter valid sender Delivered timestamp",IF(AND(ISNUMBER(J92),ISNUMBER(K92),K92&lt;J92),"Check clock order: receipt precedes arrival",""))))</f>
        <v/>
      </c>
      <c r="P92" s="9"/>
      <c r="Q92" s="9"/>
      <c r="R92" s="9"/>
      <c r="S92" s="9"/>
      <c r="T92" s="9"/>
      <c r="U92" s="9"/>
      <c r="V92" s="9"/>
    </row>
    <row r="93" spans="1:22" ht="32" customHeight="1">
      <c r="A93" s="1" t="s">
        <v>378</v>
      </c>
      <c r="B93" s="9"/>
      <c r="C93" s="9"/>
      <c r="D93" s="9"/>
      <c r="E93" s="9"/>
      <c r="F93" s="9"/>
      <c r="G93" s="9"/>
      <c r="H93" s="9"/>
      <c r="I93" s="11"/>
      <c r="J93" s="11"/>
      <c r="K93" s="11"/>
      <c r="L93" s="12">
        <f>IF(AND(ISNUMBER(I93),ISNUMBER(J93),J93&gt;=I93),(J93-I93)*1440,"")</f>
        <v/>
      </c>
      <c r="M93" s="12">
        <f>IF(AND(ISNUMBER(I93),ISNUMBER(K93),K93&gt;=I93),(K93-I93)*1440,"")</f>
        <v/>
      </c>
      <c r="N93" s="9" t="s">
        <v>24</v>
      </c>
      <c r="O93" s="1">
        <f>IF(N93="Not Run","",IF(AND(OR(N93="Delivered",N93="Received; receipt pending"),NOT(ISNUMBER(L93))),"Enter valid send and arrival timestamps",IF(AND(N93="Delivered",NOT(ISNUMBER(M93))),"Enter valid sender Delivered timestamp",IF(AND(ISNUMBER(J93),ISNUMBER(K93),K93&lt;J93),"Check clock order: receipt precedes arrival",""))))</f>
        <v/>
      </c>
      <c r="P93" s="9"/>
      <c r="Q93" s="9"/>
      <c r="R93" s="9"/>
      <c r="S93" s="9"/>
      <c r="T93" s="9"/>
      <c r="U93" s="9"/>
      <c r="V93" s="9"/>
    </row>
    <row r="94" spans="1:22" ht="32" customHeight="1">
      <c r="A94" s="1" t="s">
        <v>379</v>
      </c>
      <c r="B94" s="9"/>
      <c r="C94" s="9"/>
      <c r="D94" s="9"/>
      <c r="E94" s="9"/>
      <c r="F94" s="9"/>
      <c r="G94" s="9"/>
      <c r="H94" s="9"/>
      <c r="I94" s="11"/>
      <c r="J94" s="11"/>
      <c r="K94" s="11"/>
      <c r="L94" s="12">
        <f>IF(AND(ISNUMBER(I94),ISNUMBER(J94),J94&gt;=I94),(J94-I94)*1440,"")</f>
        <v/>
      </c>
      <c r="M94" s="12">
        <f>IF(AND(ISNUMBER(I94),ISNUMBER(K94),K94&gt;=I94),(K94-I94)*1440,"")</f>
        <v/>
      </c>
      <c r="N94" s="9" t="s">
        <v>24</v>
      </c>
      <c r="O94" s="1">
        <f>IF(N94="Not Run","",IF(AND(OR(N94="Delivered",N94="Received; receipt pending"),NOT(ISNUMBER(L94))),"Enter valid send and arrival timestamps",IF(AND(N94="Delivered",NOT(ISNUMBER(M94))),"Enter valid sender Delivered timestamp",IF(AND(ISNUMBER(J94),ISNUMBER(K94),K94&lt;J94),"Check clock order: receipt precedes arrival",""))))</f>
        <v/>
      </c>
      <c r="P94" s="9"/>
      <c r="Q94" s="9"/>
      <c r="R94" s="9"/>
      <c r="S94" s="9"/>
      <c r="T94" s="9"/>
      <c r="U94" s="9"/>
      <c r="V94" s="9"/>
    </row>
    <row r="95" spans="1:22" ht="32" customHeight="1">
      <c r="A95" s="1" t="s">
        <v>380</v>
      </c>
      <c r="B95" s="9"/>
      <c r="C95" s="9"/>
      <c r="D95" s="9"/>
      <c r="E95" s="9"/>
      <c r="F95" s="9"/>
      <c r="G95" s="9"/>
      <c r="H95" s="9"/>
      <c r="I95" s="11"/>
      <c r="J95" s="11"/>
      <c r="K95" s="11"/>
      <c r="L95" s="12">
        <f>IF(AND(ISNUMBER(I95),ISNUMBER(J95),J95&gt;=I95),(J95-I95)*1440,"")</f>
        <v/>
      </c>
      <c r="M95" s="12">
        <f>IF(AND(ISNUMBER(I95),ISNUMBER(K95),K95&gt;=I95),(K95-I95)*1440,"")</f>
        <v/>
      </c>
      <c r="N95" s="9" t="s">
        <v>24</v>
      </c>
      <c r="O95" s="1">
        <f>IF(N95="Not Run","",IF(AND(OR(N95="Delivered",N95="Received; receipt pending"),NOT(ISNUMBER(L95))),"Enter valid send and arrival timestamps",IF(AND(N95="Delivered",NOT(ISNUMBER(M95))),"Enter valid sender Delivered timestamp",IF(AND(ISNUMBER(J95),ISNUMBER(K95),K95&lt;J95),"Check clock order: receipt precedes arrival",""))))</f>
        <v/>
      </c>
      <c r="P95" s="9"/>
      <c r="Q95" s="9"/>
      <c r="R95" s="9"/>
      <c r="S95" s="9"/>
      <c r="T95" s="9"/>
      <c r="U95" s="9"/>
      <c r="V95" s="9"/>
    </row>
    <row r="96" spans="1:22" ht="32" customHeight="1">
      <c r="A96" s="1" t="s">
        <v>381</v>
      </c>
      <c r="B96" s="9"/>
      <c r="C96" s="9"/>
      <c r="D96" s="9"/>
      <c r="E96" s="9"/>
      <c r="F96" s="9"/>
      <c r="G96" s="9"/>
      <c r="H96" s="9"/>
      <c r="I96" s="11"/>
      <c r="J96" s="11"/>
      <c r="K96" s="11"/>
      <c r="L96" s="12">
        <f>IF(AND(ISNUMBER(I96),ISNUMBER(J96),J96&gt;=I96),(J96-I96)*1440,"")</f>
        <v/>
      </c>
      <c r="M96" s="12">
        <f>IF(AND(ISNUMBER(I96),ISNUMBER(K96),K96&gt;=I96),(K96-I96)*1440,"")</f>
        <v/>
      </c>
      <c r="N96" s="9" t="s">
        <v>24</v>
      </c>
      <c r="O96" s="1">
        <f>IF(N96="Not Run","",IF(AND(OR(N96="Delivered",N96="Received; receipt pending"),NOT(ISNUMBER(L96))),"Enter valid send and arrival timestamps",IF(AND(N96="Delivered",NOT(ISNUMBER(M96))),"Enter valid sender Delivered timestamp",IF(AND(ISNUMBER(J96),ISNUMBER(K96),K96&lt;J96),"Check clock order: receipt precedes arrival",""))))</f>
        <v/>
      </c>
      <c r="P96" s="9"/>
      <c r="Q96" s="9"/>
      <c r="R96" s="9"/>
      <c r="S96" s="9"/>
      <c r="T96" s="9"/>
      <c r="U96" s="9"/>
      <c r="V96" s="9"/>
    </row>
    <row r="97" spans="1:22" ht="32" customHeight="1">
      <c r="A97" s="1" t="s">
        <v>382</v>
      </c>
      <c r="B97" s="9"/>
      <c r="C97" s="9"/>
      <c r="D97" s="9"/>
      <c r="E97" s="9"/>
      <c r="F97" s="9"/>
      <c r="G97" s="9"/>
      <c r="H97" s="9"/>
      <c r="I97" s="11"/>
      <c r="J97" s="11"/>
      <c r="K97" s="11"/>
      <c r="L97" s="12">
        <f>IF(AND(ISNUMBER(I97),ISNUMBER(J97),J97&gt;=I97),(J97-I97)*1440,"")</f>
        <v/>
      </c>
      <c r="M97" s="12">
        <f>IF(AND(ISNUMBER(I97),ISNUMBER(K97),K97&gt;=I97),(K97-I97)*1440,"")</f>
        <v/>
      </c>
      <c r="N97" s="9" t="s">
        <v>24</v>
      </c>
      <c r="O97" s="1">
        <f>IF(N97="Not Run","",IF(AND(OR(N97="Delivered",N97="Received; receipt pending"),NOT(ISNUMBER(L97))),"Enter valid send and arrival timestamps",IF(AND(N97="Delivered",NOT(ISNUMBER(M97))),"Enter valid sender Delivered timestamp",IF(AND(ISNUMBER(J97),ISNUMBER(K97),K97&lt;J97),"Check clock order: receipt precedes arrival",""))))</f>
        <v/>
      </c>
      <c r="P97" s="9"/>
      <c r="Q97" s="9"/>
      <c r="R97" s="9"/>
      <c r="S97" s="9"/>
      <c r="T97" s="9"/>
      <c r="U97" s="9"/>
      <c r="V97" s="9"/>
    </row>
    <row r="98" spans="1:22" ht="32" customHeight="1">
      <c r="A98" s="1" t="s">
        <v>383</v>
      </c>
      <c r="B98" s="9"/>
      <c r="C98" s="9"/>
      <c r="D98" s="9"/>
      <c r="E98" s="9"/>
      <c r="F98" s="9"/>
      <c r="G98" s="9"/>
      <c r="H98" s="9"/>
      <c r="I98" s="11"/>
      <c r="J98" s="11"/>
      <c r="K98" s="11"/>
      <c r="L98" s="12">
        <f>IF(AND(ISNUMBER(I98),ISNUMBER(J98),J98&gt;=I98),(J98-I98)*1440,"")</f>
        <v/>
      </c>
      <c r="M98" s="12">
        <f>IF(AND(ISNUMBER(I98),ISNUMBER(K98),K98&gt;=I98),(K98-I98)*1440,"")</f>
        <v/>
      </c>
      <c r="N98" s="9" t="s">
        <v>24</v>
      </c>
      <c r="O98" s="1">
        <f>IF(N98="Not Run","",IF(AND(OR(N98="Delivered",N98="Received; receipt pending"),NOT(ISNUMBER(L98))),"Enter valid send and arrival timestamps",IF(AND(N98="Delivered",NOT(ISNUMBER(M98))),"Enter valid sender Delivered timestamp",IF(AND(ISNUMBER(J98),ISNUMBER(K98),K98&lt;J98),"Check clock order: receipt precedes arrival",""))))</f>
        <v/>
      </c>
      <c r="P98" s="9"/>
      <c r="Q98" s="9"/>
      <c r="R98" s="9"/>
      <c r="S98" s="9"/>
      <c r="T98" s="9"/>
      <c r="U98" s="9"/>
      <c r="V98" s="9"/>
    </row>
    <row r="99" spans="1:22" ht="32" customHeight="1">
      <c r="A99" s="1" t="s">
        <v>384</v>
      </c>
      <c r="B99" s="9"/>
      <c r="C99" s="9"/>
      <c r="D99" s="9"/>
      <c r="E99" s="9"/>
      <c r="F99" s="9"/>
      <c r="G99" s="9"/>
      <c r="H99" s="9"/>
      <c r="I99" s="11"/>
      <c r="J99" s="11"/>
      <c r="K99" s="11"/>
      <c r="L99" s="12">
        <f>IF(AND(ISNUMBER(I99),ISNUMBER(J99),J99&gt;=I99),(J99-I99)*1440,"")</f>
        <v/>
      </c>
      <c r="M99" s="12">
        <f>IF(AND(ISNUMBER(I99),ISNUMBER(K99),K99&gt;=I99),(K99-I99)*1440,"")</f>
        <v/>
      </c>
      <c r="N99" s="9" t="s">
        <v>24</v>
      </c>
      <c r="O99" s="1">
        <f>IF(N99="Not Run","",IF(AND(OR(N99="Delivered",N99="Received; receipt pending"),NOT(ISNUMBER(L99))),"Enter valid send and arrival timestamps",IF(AND(N99="Delivered",NOT(ISNUMBER(M99))),"Enter valid sender Delivered timestamp",IF(AND(ISNUMBER(J99),ISNUMBER(K99),K99&lt;J99),"Check clock order: receipt precedes arrival",""))))</f>
        <v/>
      </c>
      <c r="P99" s="9"/>
      <c r="Q99" s="9"/>
      <c r="R99" s="9"/>
      <c r="S99" s="9"/>
      <c r="T99" s="9"/>
      <c r="U99" s="9"/>
      <c r="V99" s="9"/>
    </row>
    <row r="100" spans="1:22" ht="32" customHeight="1">
      <c r="A100" s="1" t="s">
        <v>385</v>
      </c>
      <c r="B100" s="9"/>
      <c r="C100" s="9"/>
      <c r="D100" s="9"/>
      <c r="E100" s="9"/>
      <c r="F100" s="9"/>
      <c r="G100" s="9"/>
      <c r="H100" s="9"/>
      <c r="I100" s="11"/>
      <c r="J100" s="11"/>
      <c r="K100" s="11"/>
      <c r="L100" s="12">
        <f>IF(AND(ISNUMBER(I100),ISNUMBER(J100),J100&gt;=I100),(J100-I100)*1440,"")</f>
        <v/>
      </c>
      <c r="M100" s="12">
        <f>IF(AND(ISNUMBER(I100),ISNUMBER(K100),K100&gt;=I100),(K100-I100)*1440,"")</f>
        <v/>
      </c>
      <c r="N100" s="9" t="s">
        <v>24</v>
      </c>
      <c r="O100" s="1">
        <f>IF(N100="Not Run","",IF(AND(OR(N100="Delivered",N100="Received; receipt pending"),NOT(ISNUMBER(L100))),"Enter valid send and arrival timestamps",IF(AND(N100="Delivered",NOT(ISNUMBER(M100))),"Enter valid sender Delivered timestamp",IF(AND(ISNUMBER(J100),ISNUMBER(K100),K100&lt;J100),"Check clock order: receipt precedes arrival",""))))</f>
        <v/>
      </c>
      <c r="P100" s="9"/>
      <c r="Q100" s="9"/>
      <c r="R100" s="9"/>
      <c r="S100" s="9"/>
      <c r="T100" s="9"/>
      <c r="U100" s="9"/>
      <c r="V100" s="9"/>
    </row>
    <row r="101" spans="1:22" ht="32" customHeight="1">
      <c r="A101" s="1" t="s">
        <v>386</v>
      </c>
      <c r="B101" s="9"/>
      <c r="C101" s="9"/>
      <c r="D101" s="9"/>
      <c r="E101" s="9"/>
      <c r="F101" s="9"/>
      <c r="G101" s="9"/>
      <c r="H101" s="9"/>
      <c r="I101" s="11"/>
      <c r="J101" s="11"/>
      <c r="K101" s="11"/>
      <c r="L101" s="12">
        <f>IF(AND(ISNUMBER(I101),ISNUMBER(J101),J101&gt;=I101),(J101-I101)*1440,"")</f>
        <v/>
      </c>
      <c r="M101" s="12">
        <f>IF(AND(ISNUMBER(I101),ISNUMBER(K101),K101&gt;=I101),(K101-I101)*1440,"")</f>
        <v/>
      </c>
      <c r="N101" s="9" t="s">
        <v>24</v>
      </c>
      <c r="O101" s="1">
        <f>IF(N101="Not Run","",IF(AND(OR(N101="Delivered",N101="Received; receipt pending"),NOT(ISNUMBER(L101))),"Enter valid send and arrival timestamps",IF(AND(N101="Delivered",NOT(ISNUMBER(M101))),"Enter valid sender Delivered timestamp",IF(AND(ISNUMBER(J101),ISNUMBER(K101),K101&lt;J101),"Check clock order: receipt precedes arrival",""))))</f>
        <v/>
      </c>
      <c r="P101" s="9"/>
      <c r="Q101" s="9"/>
      <c r="R101" s="9"/>
      <c r="S101" s="9"/>
      <c r="T101" s="9"/>
      <c r="U101" s="9"/>
      <c r="V101" s="9"/>
    </row>
    <row r="102" spans="1:22" ht="32" customHeight="1">
      <c r="A102" s="1" t="s">
        <v>387</v>
      </c>
      <c r="B102" s="9"/>
      <c r="C102" s="9"/>
      <c r="D102" s="9"/>
      <c r="E102" s="9"/>
      <c r="F102" s="9"/>
      <c r="G102" s="9"/>
      <c r="H102" s="9"/>
      <c r="I102" s="11"/>
      <c r="J102" s="11"/>
      <c r="K102" s="11"/>
      <c r="L102" s="12">
        <f>IF(AND(ISNUMBER(I102),ISNUMBER(J102),J102&gt;=I102),(J102-I102)*1440,"")</f>
        <v/>
      </c>
      <c r="M102" s="12">
        <f>IF(AND(ISNUMBER(I102),ISNUMBER(K102),K102&gt;=I102),(K102-I102)*1440,"")</f>
        <v/>
      </c>
      <c r="N102" s="9" t="s">
        <v>24</v>
      </c>
      <c r="O102" s="1">
        <f>IF(N102="Not Run","",IF(AND(OR(N102="Delivered",N102="Received; receipt pending"),NOT(ISNUMBER(L102))),"Enter valid send and arrival timestamps",IF(AND(N102="Delivered",NOT(ISNUMBER(M102))),"Enter valid sender Delivered timestamp",IF(AND(ISNUMBER(J102),ISNUMBER(K102),K102&lt;J102),"Check clock order: receipt precedes arrival",""))))</f>
        <v/>
      </c>
      <c r="P102" s="9"/>
      <c r="Q102" s="9"/>
      <c r="R102" s="9"/>
      <c r="S102" s="9"/>
      <c r="T102" s="9"/>
      <c r="U102" s="9"/>
      <c r="V102" s="9"/>
    </row>
    <row r="103" spans="1:22" ht="32" customHeight="1">
      <c r="A103" s="1" t="s">
        <v>388</v>
      </c>
      <c r="B103" s="9"/>
      <c r="C103" s="9"/>
      <c r="D103" s="9"/>
      <c r="E103" s="9"/>
      <c r="F103" s="9"/>
      <c r="G103" s="9"/>
      <c r="H103" s="9"/>
      <c r="I103" s="11"/>
      <c r="J103" s="11"/>
      <c r="K103" s="11"/>
      <c r="L103" s="12">
        <f>IF(AND(ISNUMBER(I103),ISNUMBER(J103),J103&gt;=I103),(J103-I103)*1440,"")</f>
        <v/>
      </c>
      <c r="M103" s="12">
        <f>IF(AND(ISNUMBER(I103),ISNUMBER(K103),K103&gt;=I103),(K103-I103)*1440,"")</f>
        <v/>
      </c>
      <c r="N103" s="9" t="s">
        <v>24</v>
      </c>
      <c r="O103" s="1">
        <f>IF(N103="Not Run","",IF(AND(OR(N103="Delivered",N103="Received; receipt pending"),NOT(ISNUMBER(L103))),"Enter valid send and arrival timestamps",IF(AND(N103="Delivered",NOT(ISNUMBER(M103))),"Enter valid sender Delivered timestamp",IF(AND(ISNUMBER(J103),ISNUMBER(K103),K103&lt;J103),"Check clock order: receipt precedes arrival",""))))</f>
        <v/>
      </c>
      <c r="P103" s="9"/>
      <c r="Q103" s="9"/>
      <c r="R103" s="9"/>
      <c r="S103" s="9"/>
      <c r="T103" s="9"/>
      <c r="U103" s="9"/>
      <c r="V103" s="9"/>
    </row>
    <row r="104" spans="1:22" ht="32" customHeight="1">
      <c r="A104" s="1" t="s">
        <v>389</v>
      </c>
      <c r="B104" s="9"/>
      <c r="C104" s="9"/>
      <c r="D104" s="9"/>
      <c r="E104" s="9"/>
      <c r="F104" s="9"/>
      <c r="G104" s="9"/>
      <c r="H104" s="9"/>
      <c r="I104" s="11"/>
      <c r="J104" s="11"/>
      <c r="K104" s="11"/>
      <c r="L104" s="12">
        <f>IF(AND(ISNUMBER(I104),ISNUMBER(J104),J104&gt;=I104),(J104-I104)*1440,"")</f>
        <v/>
      </c>
      <c r="M104" s="12">
        <f>IF(AND(ISNUMBER(I104),ISNUMBER(K104),K104&gt;=I104),(K104-I104)*1440,"")</f>
        <v/>
      </c>
      <c r="N104" s="9" t="s">
        <v>24</v>
      </c>
      <c r="O104" s="1">
        <f>IF(N104="Not Run","",IF(AND(OR(N104="Delivered",N104="Received; receipt pending"),NOT(ISNUMBER(L104))),"Enter valid send and arrival timestamps",IF(AND(N104="Delivered",NOT(ISNUMBER(M104))),"Enter valid sender Delivered timestamp",IF(AND(ISNUMBER(J104),ISNUMBER(K104),K104&lt;J104),"Check clock order: receipt precedes arrival",""))))</f>
        <v/>
      </c>
      <c r="P104" s="9"/>
      <c r="Q104" s="9"/>
      <c r="R104" s="9"/>
      <c r="S104" s="9"/>
      <c r="T104" s="9"/>
      <c r="U104" s="9"/>
      <c r="V104" s="9"/>
    </row>
    <row r="105" spans="1:22" ht="32" customHeight="1">
      <c r="A105" s="1" t="s">
        <v>390</v>
      </c>
      <c r="B105" s="9"/>
      <c r="C105" s="9"/>
      <c r="D105" s="9"/>
      <c r="E105" s="9"/>
      <c r="F105" s="9"/>
      <c r="G105" s="9"/>
      <c r="H105" s="9"/>
      <c r="I105" s="11"/>
      <c r="J105" s="11"/>
      <c r="K105" s="11"/>
      <c r="L105" s="12">
        <f>IF(AND(ISNUMBER(I105),ISNUMBER(J105),J105&gt;=I105),(J105-I105)*1440,"")</f>
        <v/>
      </c>
      <c r="M105" s="12">
        <f>IF(AND(ISNUMBER(I105),ISNUMBER(K105),K105&gt;=I105),(K105-I105)*1440,"")</f>
        <v/>
      </c>
      <c r="N105" s="9" t="s">
        <v>24</v>
      </c>
      <c r="O105" s="1">
        <f>IF(N105="Not Run","",IF(AND(OR(N105="Delivered",N105="Received; receipt pending"),NOT(ISNUMBER(L105))),"Enter valid send and arrival timestamps",IF(AND(N105="Delivered",NOT(ISNUMBER(M105))),"Enter valid sender Delivered timestamp",IF(AND(ISNUMBER(J105),ISNUMBER(K105),K105&lt;J105),"Check clock order: receipt precedes arrival",""))))</f>
        <v/>
      </c>
      <c r="P105" s="9"/>
      <c r="Q105" s="9"/>
      <c r="R105" s="9"/>
      <c r="S105" s="9"/>
      <c r="T105" s="9"/>
      <c r="U105" s="9"/>
      <c r="V105" s="9"/>
    </row>
    <row r="106" spans="1:22" ht="32" customHeight="1">
      <c r="A106" s="1" t="s">
        <v>391</v>
      </c>
      <c r="B106" s="9"/>
      <c r="C106" s="9"/>
      <c r="D106" s="9"/>
      <c r="E106" s="9"/>
      <c r="F106" s="9"/>
      <c r="G106" s="9"/>
      <c r="H106" s="9"/>
      <c r="I106" s="11"/>
      <c r="J106" s="11"/>
      <c r="K106" s="11"/>
      <c r="L106" s="12">
        <f>IF(AND(ISNUMBER(I106),ISNUMBER(J106),J106&gt;=I106),(J106-I106)*1440,"")</f>
        <v/>
      </c>
      <c r="M106" s="12">
        <f>IF(AND(ISNUMBER(I106),ISNUMBER(K106),K106&gt;=I106),(K106-I106)*1440,"")</f>
        <v/>
      </c>
      <c r="N106" s="9" t="s">
        <v>24</v>
      </c>
      <c r="O106" s="1">
        <f>IF(N106="Not Run","",IF(AND(OR(N106="Delivered",N106="Received; receipt pending"),NOT(ISNUMBER(L106))),"Enter valid send and arrival timestamps",IF(AND(N106="Delivered",NOT(ISNUMBER(M106))),"Enter valid sender Delivered timestamp",IF(AND(ISNUMBER(J106),ISNUMBER(K106),K106&lt;J106),"Check clock order: receipt precedes arrival",""))))</f>
        <v/>
      </c>
      <c r="P106" s="9"/>
      <c r="Q106" s="9"/>
      <c r="R106" s="9"/>
      <c r="S106" s="9"/>
      <c r="T106" s="9"/>
      <c r="U106" s="9"/>
      <c r="V106" s="9"/>
    </row>
    <row r="107" spans="1:22" ht="32" customHeight="1">
      <c r="A107" s="1" t="s">
        <v>392</v>
      </c>
      <c r="B107" s="9"/>
      <c r="C107" s="9"/>
      <c r="D107" s="9"/>
      <c r="E107" s="9"/>
      <c r="F107" s="9"/>
      <c r="G107" s="9"/>
      <c r="H107" s="9"/>
      <c r="I107" s="11"/>
      <c r="J107" s="11"/>
      <c r="K107" s="11"/>
      <c r="L107" s="12">
        <f>IF(AND(ISNUMBER(I107),ISNUMBER(J107),J107&gt;=I107),(J107-I107)*1440,"")</f>
        <v/>
      </c>
      <c r="M107" s="12">
        <f>IF(AND(ISNUMBER(I107),ISNUMBER(K107),K107&gt;=I107),(K107-I107)*1440,"")</f>
        <v/>
      </c>
      <c r="N107" s="9" t="s">
        <v>24</v>
      </c>
      <c r="O107" s="1">
        <f>IF(N107="Not Run","",IF(AND(OR(N107="Delivered",N107="Received; receipt pending"),NOT(ISNUMBER(L107))),"Enter valid send and arrival timestamps",IF(AND(N107="Delivered",NOT(ISNUMBER(M107))),"Enter valid sender Delivered timestamp",IF(AND(ISNUMBER(J107),ISNUMBER(K107),K107&lt;J107),"Check clock order: receipt precedes arrival",""))))</f>
        <v/>
      </c>
      <c r="P107" s="9"/>
      <c r="Q107" s="9"/>
      <c r="R107" s="9"/>
      <c r="S107" s="9"/>
      <c r="T107" s="9"/>
      <c r="U107" s="9"/>
      <c r="V107" s="9"/>
    </row>
    <row r="108" spans="1:22" ht="32" customHeight="1">
      <c r="A108" s="1" t="s">
        <v>393</v>
      </c>
      <c r="B108" s="9"/>
      <c r="C108" s="9"/>
      <c r="D108" s="9"/>
      <c r="E108" s="9"/>
      <c r="F108" s="9"/>
      <c r="G108" s="9"/>
      <c r="H108" s="9"/>
      <c r="I108" s="11"/>
      <c r="J108" s="11"/>
      <c r="K108" s="11"/>
      <c r="L108" s="12">
        <f>IF(AND(ISNUMBER(I108),ISNUMBER(J108),J108&gt;=I108),(J108-I108)*1440,"")</f>
        <v/>
      </c>
      <c r="M108" s="12">
        <f>IF(AND(ISNUMBER(I108),ISNUMBER(K108),K108&gt;=I108),(K108-I108)*1440,"")</f>
        <v/>
      </c>
      <c r="N108" s="9" t="s">
        <v>24</v>
      </c>
      <c r="O108" s="1">
        <f>IF(N108="Not Run","",IF(AND(OR(N108="Delivered",N108="Received; receipt pending"),NOT(ISNUMBER(L108))),"Enter valid send and arrival timestamps",IF(AND(N108="Delivered",NOT(ISNUMBER(M108))),"Enter valid sender Delivered timestamp",IF(AND(ISNUMBER(J108),ISNUMBER(K108),K108&lt;J108),"Check clock order: receipt precedes arrival",""))))</f>
        <v/>
      </c>
      <c r="P108" s="9"/>
      <c r="Q108" s="9"/>
      <c r="R108" s="9"/>
      <c r="S108" s="9"/>
      <c r="T108" s="9"/>
      <c r="U108" s="9"/>
      <c r="V108" s="9"/>
    </row>
    <row r="109" spans="1:22" ht="32" customHeight="1">
      <c r="A109" s="1" t="s">
        <v>394</v>
      </c>
      <c r="B109" s="9"/>
      <c r="C109" s="9"/>
      <c r="D109" s="9"/>
      <c r="E109" s="9"/>
      <c r="F109" s="9"/>
      <c r="G109" s="9"/>
      <c r="H109" s="9"/>
      <c r="I109" s="11"/>
      <c r="J109" s="11"/>
      <c r="K109" s="11"/>
      <c r="L109" s="12">
        <f>IF(AND(ISNUMBER(I109),ISNUMBER(J109),J109&gt;=I109),(J109-I109)*1440,"")</f>
        <v/>
      </c>
      <c r="M109" s="12">
        <f>IF(AND(ISNUMBER(I109),ISNUMBER(K109),K109&gt;=I109),(K109-I109)*1440,"")</f>
        <v/>
      </c>
      <c r="N109" s="9" t="s">
        <v>24</v>
      </c>
      <c r="O109" s="1">
        <f>IF(N109="Not Run","",IF(AND(OR(N109="Delivered",N109="Received; receipt pending"),NOT(ISNUMBER(L109))),"Enter valid send and arrival timestamps",IF(AND(N109="Delivered",NOT(ISNUMBER(M109))),"Enter valid sender Delivered timestamp",IF(AND(ISNUMBER(J109),ISNUMBER(K109),K109&lt;J109),"Check clock order: receipt precedes arrival",""))))</f>
        <v/>
      </c>
      <c r="P109" s="9"/>
      <c r="Q109" s="9"/>
      <c r="R109" s="9"/>
      <c r="S109" s="9"/>
      <c r="T109" s="9"/>
      <c r="U109" s="9"/>
      <c r="V109" s="9"/>
    </row>
    <row r="110" spans="1:22" ht="32" customHeight="1">
      <c r="A110" s="1" t="s">
        <v>395</v>
      </c>
      <c r="B110" s="9"/>
      <c r="C110" s="9"/>
      <c r="D110" s="9"/>
      <c r="E110" s="9"/>
      <c r="F110" s="9"/>
      <c r="G110" s="9"/>
      <c r="H110" s="9"/>
      <c r="I110" s="11"/>
      <c r="J110" s="11"/>
      <c r="K110" s="11"/>
      <c r="L110" s="12">
        <f>IF(AND(ISNUMBER(I110),ISNUMBER(J110),J110&gt;=I110),(J110-I110)*1440,"")</f>
        <v/>
      </c>
      <c r="M110" s="12">
        <f>IF(AND(ISNUMBER(I110),ISNUMBER(K110),K110&gt;=I110),(K110-I110)*1440,"")</f>
        <v/>
      </c>
      <c r="N110" s="9" t="s">
        <v>24</v>
      </c>
      <c r="O110" s="1">
        <f>IF(N110="Not Run","",IF(AND(OR(N110="Delivered",N110="Received; receipt pending"),NOT(ISNUMBER(L110))),"Enter valid send and arrival timestamps",IF(AND(N110="Delivered",NOT(ISNUMBER(M110))),"Enter valid sender Delivered timestamp",IF(AND(ISNUMBER(J110),ISNUMBER(K110),K110&lt;J110),"Check clock order: receipt precedes arrival",""))))</f>
        <v/>
      </c>
      <c r="P110" s="9"/>
      <c r="Q110" s="9"/>
      <c r="R110" s="9"/>
      <c r="S110" s="9"/>
      <c r="T110" s="9"/>
      <c r="U110" s="9"/>
      <c r="V110" s="9"/>
    </row>
    <row r="111" spans="1:22" ht="32" customHeight="1">
      <c r="A111" s="1" t="s">
        <v>396</v>
      </c>
      <c r="B111" s="9"/>
      <c r="C111" s="9"/>
      <c r="D111" s="9"/>
      <c r="E111" s="9"/>
      <c r="F111" s="9"/>
      <c r="G111" s="9"/>
      <c r="H111" s="9"/>
      <c r="I111" s="11"/>
      <c r="J111" s="11"/>
      <c r="K111" s="11"/>
      <c r="L111" s="12">
        <f>IF(AND(ISNUMBER(I111),ISNUMBER(J111),J111&gt;=I111),(J111-I111)*1440,"")</f>
        <v/>
      </c>
      <c r="M111" s="12">
        <f>IF(AND(ISNUMBER(I111),ISNUMBER(K111),K111&gt;=I111),(K111-I111)*1440,"")</f>
        <v/>
      </c>
      <c r="N111" s="9" t="s">
        <v>24</v>
      </c>
      <c r="O111" s="1">
        <f>IF(N111="Not Run","",IF(AND(OR(N111="Delivered",N111="Received; receipt pending"),NOT(ISNUMBER(L111))),"Enter valid send and arrival timestamps",IF(AND(N111="Delivered",NOT(ISNUMBER(M111))),"Enter valid sender Delivered timestamp",IF(AND(ISNUMBER(J111),ISNUMBER(K111),K111&lt;J111),"Check clock order: receipt precedes arrival",""))))</f>
        <v/>
      </c>
      <c r="P111" s="9"/>
      <c r="Q111" s="9"/>
      <c r="R111" s="9"/>
      <c r="S111" s="9"/>
      <c r="T111" s="9"/>
      <c r="U111" s="9"/>
      <c r="V111" s="9"/>
    </row>
    <row r="112" spans="1:22" ht="32" customHeight="1">
      <c r="A112" s="1" t="s">
        <v>397</v>
      </c>
      <c r="B112" s="9"/>
      <c r="C112" s="9"/>
      <c r="D112" s="9"/>
      <c r="E112" s="9"/>
      <c r="F112" s="9"/>
      <c r="G112" s="9"/>
      <c r="H112" s="9"/>
      <c r="I112" s="11"/>
      <c r="J112" s="11"/>
      <c r="K112" s="11"/>
      <c r="L112" s="12">
        <f>IF(AND(ISNUMBER(I112),ISNUMBER(J112),J112&gt;=I112),(J112-I112)*1440,"")</f>
        <v/>
      </c>
      <c r="M112" s="12">
        <f>IF(AND(ISNUMBER(I112),ISNUMBER(K112),K112&gt;=I112),(K112-I112)*1440,"")</f>
        <v/>
      </c>
      <c r="N112" s="9" t="s">
        <v>24</v>
      </c>
      <c r="O112" s="1">
        <f>IF(N112="Not Run","",IF(AND(OR(N112="Delivered",N112="Received; receipt pending"),NOT(ISNUMBER(L112))),"Enter valid send and arrival timestamps",IF(AND(N112="Delivered",NOT(ISNUMBER(M112))),"Enter valid sender Delivered timestamp",IF(AND(ISNUMBER(J112),ISNUMBER(K112),K112&lt;J112),"Check clock order: receipt precedes arrival",""))))</f>
        <v/>
      </c>
      <c r="P112" s="9"/>
      <c r="Q112" s="9"/>
      <c r="R112" s="9"/>
      <c r="S112" s="9"/>
      <c r="T112" s="9"/>
      <c r="U112" s="9"/>
      <c r="V112" s="9"/>
    </row>
    <row r="113" spans="1:22" ht="32" customHeight="1">
      <c r="A113" s="1" t="s">
        <v>398</v>
      </c>
      <c r="B113" s="9"/>
      <c r="C113" s="9"/>
      <c r="D113" s="9"/>
      <c r="E113" s="9"/>
      <c r="F113" s="9"/>
      <c r="G113" s="9"/>
      <c r="H113" s="9"/>
      <c r="I113" s="11"/>
      <c r="J113" s="11"/>
      <c r="K113" s="11"/>
      <c r="L113" s="12">
        <f>IF(AND(ISNUMBER(I113),ISNUMBER(J113),J113&gt;=I113),(J113-I113)*1440,"")</f>
        <v/>
      </c>
      <c r="M113" s="12">
        <f>IF(AND(ISNUMBER(I113),ISNUMBER(K113),K113&gt;=I113),(K113-I113)*1440,"")</f>
        <v/>
      </c>
      <c r="N113" s="9" t="s">
        <v>24</v>
      </c>
      <c r="O113" s="1">
        <f>IF(N113="Not Run","",IF(AND(OR(N113="Delivered",N113="Received; receipt pending"),NOT(ISNUMBER(L113))),"Enter valid send and arrival timestamps",IF(AND(N113="Delivered",NOT(ISNUMBER(M113))),"Enter valid sender Delivered timestamp",IF(AND(ISNUMBER(J113),ISNUMBER(K113),K113&lt;J113),"Check clock order: receipt precedes arrival",""))))</f>
        <v/>
      </c>
      <c r="P113" s="9"/>
      <c r="Q113" s="9"/>
      <c r="R113" s="9"/>
      <c r="S113" s="9"/>
      <c r="T113" s="9"/>
      <c r="U113" s="9"/>
      <c r="V113" s="9"/>
    </row>
    <row r="114" spans="1:22" ht="32" customHeight="1">
      <c r="A114" s="1" t="s">
        <v>399</v>
      </c>
      <c r="B114" s="9"/>
      <c r="C114" s="9"/>
      <c r="D114" s="9"/>
      <c r="E114" s="9"/>
      <c r="F114" s="9"/>
      <c r="G114" s="9"/>
      <c r="H114" s="9"/>
      <c r="I114" s="11"/>
      <c r="J114" s="11"/>
      <c r="K114" s="11"/>
      <c r="L114" s="12">
        <f>IF(AND(ISNUMBER(I114),ISNUMBER(J114),J114&gt;=I114),(J114-I114)*1440,"")</f>
        <v/>
      </c>
      <c r="M114" s="12">
        <f>IF(AND(ISNUMBER(I114),ISNUMBER(K114),K114&gt;=I114),(K114-I114)*1440,"")</f>
        <v/>
      </c>
      <c r="N114" s="9" t="s">
        <v>24</v>
      </c>
      <c r="O114" s="1">
        <f>IF(N114="Not Run","",IF(AND(OR(N114="Delivered",N114="Received; receipt pending"),NOT(ISNUMBER(L114))),"Enter valid send and arrival timestamps",IF(AND(N114="Delivered",NOT(ISNUMBER(M114))),"Enter valid sender Delivered timestamp",IF(AND(ISNUMBER(J114),ISNUMBER(K114),K114&lt;J114),"Check clock order: receipt precedes arrival",""))))</f>
        <v/>
      </c>
      <c r="P114" s="9"/>
      <c r="Q114" s="9"/>
      <c r="R114" s="9"/>
      <c r="S114" s="9"/>
      <c r="T114" s="9"/>
      <c r="U114" s="9"/>
      <c r="V114" s="9"/>
    </row>
    <row r="115" spans="1:22" ht="32" customHeight="1">
      <c r="A115" s="1" t="s">
        <v>400</v>
      </c>
      <c r="B115" s="9"/>
      <c r="C115" s="9"/>
      <c r="D115" s="9"/>
      <c r="E115" s="9"/>
      <c r="F115" s="9"/>
      <c r="G115" s="9"/>
      <c r="H115" s="9"/>
      <c r="I115" s="11"/>
      <c r="J115" s="11"/>
      <c r="K115" s="11"/>
      <c r="L115" s="12">
        <f>IF(AND(ISNUMBER(I115),ISNUMBER(J115),J115&gt;=I115),(J115-I115)*1440,"")</f>
        <v/>
      </c>
      <c r="M115" s="12">
        <f>IF(AND(ISNUMBER(I115),ISNUMBER(K115),K115&gt;=I115),(K115-I115)*1440,"")</f>
        <v/>
      </c>
      <c r="N115" s="9" t="s">
        <v>24</v>
      </c>
      <c r="O115" s="1">
        <f>IF(N115="Not Run","",IF(AND(OR(N115="Delivered",N115="Received; receipt pending"),NOT(ISNUMBER(L115))),"Enter valid send and arrival timestamps",IF(AND(N115="Delivered",NOT(ISNUMBER(M115))),"Enter valid sender Delivered timestamp",IF(AND(ISNUMBER(J115),ISNUMBER(K115),K115&lt;J115),"Check clock order: receipt precedes arrival",""))))</f>
        <v/>
      </c>
      <c r="P115" s="9"/>
      <c r="Q115" s="9"/>
      <c r="R115" s="9"/>
      <c r="S115" s="9"/>
      <c r="T115" s="9"/>
      <c r="U115" s="9"/>
      <c r="V115" s="9"/>
    </row>
    <row r="116" spans="1:22" ht="32" customHeight="1">
      <c r="A116" s="1" t="s">
        <v>401</v>
      </c>
      <c r="B116" s="9"/>
      <c r="C116" s="9"/>
      <c r="D116" s="9"/>
      <c r="E116" s="9"/>
      <c r="F116" s="9"/>
      <c r="G116" s="9"/>
      <c r="H116" s="9"/>
      <c r="I116" s="11"/>
      <c r="J116" s="11"/>
      <c r="K116" s="11"/>
      <c r="L116" s="12">
        <f>IF(AND(ISNUMBER(I116),ISNUMBER(J116),J116&gt;=I116),(J116-I116)*1440,"")</f>
        <v/>
      </c>
      <c r="M116" s="12">
        <f>IF(AND(ISNUMBER(I116),ISNUMBER(K116),K116&gt;=I116),(K116-I116)*1440,"")</f>
        <v/>
      </c>
      <c r="N116" s="9" t="s">
        <v>24</v>
      </c>
      <c r="O116" s="1">
        <f>IF(N116="Not Run","",IF(AND(OR(N116="Delivered",N116="Received; receipt pending"),NOT(ISNUMBER(L116))),"Enter valid send and arrival timestamps",IF(AND(N116="Delivered",NOT(ISNUMBER(M116))),"Enter valid sender Delivered timestamp",IF(AND(ISNUMBER(J116),ISNUMBER(K116),K116&lt;J116),"Check clock order: receipt precedes arrival",""))))</f>
        <v/>
      </c>
      <c r="P116" s="9"/>
      <c r="Q116" s="9"/>
      <c r="R116" s="9"/>
      <c r="S116" s="9"/>
      <c r="T116" s="9"/>
      <c r="U116" s="9"/>
      <c r="V116" s="9"/>
    </row>
    <row r="117" spans="1:22" ht="32" customHeight="1">
      <c r="A117" s="1" t="s">
        <v>402</v>
      </c>
      <c r="B117" s="9"/>
      <c r="C117" s="9"/>
      <c r="D117" s="9"/>
      <c r="E117" s="9"/>
      <c r="F117" s="9"/>
      <c r="G117" s="9"/>
      <c r="H117" s="9"/>
      <c r="I117" s="11"/>
      <c r="J117" s="11"/>
      <c r="K117" s="11"/>
      <c r="L117" s="12">
        <f>IF(AND(ISNUMBER(I117),ISNUMBER(J117),J117&gt;=I117),(J117-I117)*1440,"")</f>
        <v/>
      </c>
      <c r="M117" s="12">
        <f>IF(AND(ISNUMBER(I117),ISNUMBER(K117),K117&gt;=I117),(K117-I117)*1440,"")</f>
        <v/>
      </c>
      <c r="N117" s="9" t="s">
        <v>24</v>
      </c>
      <c r="O117" s="1">
        <f>IF(N117="Not Run","",IF(AND(OR(N117="Delivered",N117="Received; receipt pending"),NOT(ISNUMBER(L117))),"Enter valid send and arrival timestamps",IF(AND(N117="Delivered",NOT(ISNUMBER(M117))),"Enter valid sender Delivered timestamp",IF(AND(ISNUMBER(J117),ISNUMBER(K117),K117&lt;J117),"Check clock order: receipt precedes arrival",""))))</f>
        <v/>
      </c>
      <c r="P117" s="9"/>
      <c r="Q117" s="9"/>
      <c r="R117" s="9"/>
      <c r="S117" s="9"/>
      <c r="T117" s="9"/>
      <c r="U117" s="9"/>
      <c r="V117" s="9"/>
    </row>
    <row r="118" spans="1:22" ht="32" customHeight="1">
      <c r="A118" s="1" t="s">
        <v>403</v>
      </c>
      <c r="B118" s="9"/>
      <c r="C118" s="9"/>
      <c r="D118" s="9"/>
      <c r="E118" s="9"/>
      <c r="F118" s="9"/>
      <c r="G118" s="9"/>
      <c r="H118" s="9"/>
      <c r="I118" s="11"/>
      <c r="J118" s="11"/>
      <c r="K118" s="11"/>
      <c r="L118" s="12">
        <f>IF(AND(ISNUMBER(I118),ISNUMBER(J118),J118&gt;=I118),(J118-I118)*1440,"")</f>
        <v/>
      </c>
      <c r="M118" s="12">
        <f>IF(AND(ISNUMBER(I118),ISNUMBER(K118),K118&gt;=I118),(K118-I118)*1440,"")</f>
        <v/>
      </c>
      <c r="N118" s="9" t="s">
        <v>24</v>
      </c>
      <c r="O118" s="1">
        <f>IF(N118="Not Run","",IF(AND(OR(N118="Delivered",N118="Received; receipt pending"),NOT(ISNUMBER(L118))),"Enter valid send and arrival timestamps",IF(AND(N118="Delivered",NOT(ISNUMBER(M118))),"Enter valid sender Delivered timestamp",IF(AND(ISNUMBER(J118),ISNUMBER(K118),K118&lt;J118),"Check clock order: receipt precedes arrival",""))))</f>
        <v/>
      </c>
      <c r="P118" s="9"/>
      <c r="Q118" s="9"/>
      <c r="R118" s="9"/>
      <c r="S118" s="9"/>
      <c r="T118" s="9"/>
      <c r="U118" s="9"/>
      <c r="V118" s="9"/>
    </row>
    <row r="119" spans="1:22" ht="32" customHeight="1">
      <c r="A119" s="1" t="s">
        <v>404</v>
      </c>
      <c r="B119" s="9"/>
      <c r="C119" s="9"/>
      <c r="D119" s="9"/>
      <c r="E119" s="9"/>
      <c r="F119" s="9"/>
      <c r="G119" s="9"/>
      <c r="H119" s="9"/>
      <c r="I119" s="11"/>
      <c r="J119" s="11"/>
      <c r="K119" s="11"/>
      <c r="L119" s="12">
        <f>IF(AND(ISNUMBER(I119),ISNUMBER(J119),J119&gt;=I119),(J119-I119)*1440,"")</f>
        <v/>
      </c>
      <c r="M119" s="12">
        <f>IF(AND(ISNUMBER(I119),ISNUMBER(K119),K119&gt;=I119),(K119-I119)*1440,"")</f>
        <v/>
      </c>
      <c r="N119" s="9" t="s">
        <v>24</v>
      </c>
      <c r="O119" s="1">
        <f>IF(N119="Not Run","",IF(AND(OR(N119="Delivered",N119="Received; receipt pending"),NOT(ISNUMBER(L119))),"Enter valid send and arrival timestamps",IF(AND(N119="Delivered",NOT(ISNUMBER(M119))),"Enter valid sender Delivered timestamp",IF(AND(ISNUMBER(J119),ISNUMBER(K119),K119&lt;J119),"Check clock order: receipt precedes arrival",""))))</f>
        <v/>
      </c>
      <c r="P119" s="9"/>
      <c r="Q119" s="9"/>
      <c r="R119" s="9"/>
      <c r="S119" s="9"/>
      <c r="T119" s="9"/>
      <c r="U119" s="9"/>
      <c r="V119" s="9"/>
    </row>
    <row r="120" spans="1:22" ht="32" customHeight="1">
      <c r="A120" s="1" t="s">
        <v>405</v>
      </c>
      <c r="B120" s="9"/>
      <c r="C120" s="9"/>
      <c r="D120" s="9"/>
      <c r="E120" s="9"/>
      <c r="F120" s="9"/>
      <c r="G120" s="9"/>
      <c r="H120" s="9"/>
      <c r="I120" s="11"/>
      <c r="J120" s="11"/>
      <c r="K120" s="11"/>
      <c r="L120" s="12">
        <f>IF(AND(ISNUMBER(I120),ISNUMBER(J120),J120&gt;=I120),(J120-I120)*1440,"")</f>
        <v/>
      </c>
      <c r="M120" s="12">
        <f>IF(AND(ISNUMBER(I120),ISNUMBER(K120),K120&gt;=I120),(K120-I120)*1440,"")</f>
        <v/>
      </c>
      <c r="N120" s="9" t="s">
        <v>24</v>
      </c>
      <c r="O120" s="1">
        <f>IF(N120="Not Run","",IF(AND(OR(N120="Delivered",N120="Received; receipt pending"),NOT(ISNUMBER(L120))),"Enter valid send and arrival timestamps",IF(AND(N120="Delivered",NOT(ISNUMBER(M120))),"Enter valid sender Delivered timestamp",IF(AND(ISNUMBER(J120),ISNUMBER(K120),K120&lt;J120),"Check clock order: receipt precedes arrival",""))))</f>
        <v/>
      </c>
      <c r="P120" s="9"/>
      <c r="Q120" s="9"/>
      <c r="R120" s="9"/>
      <c r="S120" s="9"/>
      <c r="T120" s="9"/>
      <c r="U120" s="9"/>
      <c r="V120" s="9"/>
    </row>
    <row r="121" spans="1:22" ht="32" customHeight="1">
      <c r="A121" s="1" t="s">
        <v>406</v>
      </c>
      <c r="B121" s="9"/>
      <c r="C121" s="9"/>
      <c r="D121" s="9"/>
      <c r="E121" s="9"/>
      <c r="F121" s="9"/>
      <c r="G121" s="9"/>
      <c r="H121" s="9"/>
      <c r="I121" s="11"/>
      <c r="J121" s="11"/>
      <c r="K121" s="11"/>
      <c r="L121" s="12">
        <f>IF(AND(ISNUMBER(I121),ISNUMBER(J121),J121&gt;=I121),(J121-I121)*1440,"")</f>
        <v/>
      </c>
      <c r="M121" s="12">
        <f>IF(AND(ISNUMBER(I121),ISNUMBER(K121),K121&gt;=I121),(K121-I121)*1440,"")</f>
        <v/>
      </c>
      <c r="N121" s="9" t="s">
        <v>24</v>
      </c>
      <c r="O121" s="1">
        <f>IF(N121="Not Run","",IF(AND(OR(N121="Delivered",N121="Received; receipt pending"),NOT(ISNUMBER(L121))),"Enter valid send and arrival timestamps",IF(AND(N121="Delivered",NOT(ISNUMBER(M121))),"Enter valid sender Delivered timestamp",IF(AND(ISNUMBER(J121),ISNUMBER(K121),K121&lt;J121),"Check clock order: receipt precedes arrival",""))))</f>
        <v/>
      </c>
      <c r="P121" s="9"/>
      <c r="Q121" s="9"/>
      <c r="R121" s="9"/>
      <c r="S121" s="9"/>
      <c r="T121" s="9"/>
      <c r="U121" s="9"/>
      <c r="V121" s="9"/>
    </row>
    <row r="122" spans="1:22" ht="32" customHeight="1">
      <c r="A122" s="1" t="s">
        <v>407</v>
      </c>
      <c r="B122" s="9"/>
      <c r="C122" s="9"/>
      <c r="D122" s="9"/>
      <c r="E122" s="9"/>
      <c r="F122" s="9"/>
      <c r="G122" s="9"/>
      <c r="H122" s="9"/>
      <c r="I122" s="11"/>
      <c r="J122" s="11"/>
      <c r="K122" s="11"/>
      <c r="L122" s="12">
        <f>IF(AND(ISNUMBER(I122),ISNUMBER(J122),J122&gt;=I122),(J122-I122)*1440,"")</f>
        <v/>
      </c>
      <c r="M122" s="12">
        <f>IF(AND(ISNUMBER(I122),ISNUMBER(K122),K122&gt;=I122),(K122-I122)*1440,"")</f>
        <v/>
      </c>
      <c r="N122" s="9" t="s">
        <v>24</v>
      </c>
      <c r="O122" s="1">
        <f>IF(N122="Not Run","",IF(AND(OR(N122="Delivered",N122="Received; receipt pending"),NOT(ISNUMBER(L122))),"Enter valid send and arrival timestamps",IF(AND(N122="Delivered",NOT(ISNUMBER(M122))),"Enter valid sender Delivered timestamp",IF(AND(ISNUMBER(J122),ISNUMBER(K122),K122&lt;J122),"Check clock order: receipt precedes arrival",""))))</f>
        <v/>
      </c>
      <c r="P122" s="9"/>
      <c r="Q122" s="9"/>
      <c r="R122" s="9"/>
      <c r="S122" s="9"/>
      <c r="T122" s="9"/>
      <c r="U122" s="9"/>
      <c r="V122" s="9"/>
    </row>
    <row r="123" spans="1:22" ht="32" customHeight="1">
      <c r="A123" s="1" t="s">
        <v>408</v>
      </c>
      <c r="B123" s="9"/>
      <c r="C123" s="9"/>
      <c r="D123" s="9"/>
      <c r="E123" s="9"/>
      <c r="F123" s="9"/>
      <c r="G123" s="9"/>
      <c r="H123" s="9"/>
      <c r="I123" s="11"/>
      <c r="J123" s="11"/>
      <c r="K123" s="11"/>
      <c r="L123" s="12">
        <f>IF(AND(ISNUMBER(I123),ISNUMBER(J123),J123&gt;=I123),(J123-I123)*1440,"")</f>
        <v/>
      </c>
      <c r="M123" s="12">
        <f>IF(AND(ISNUMBER(I123),ISNUMBER(K123),K123&gt;=I123),(K123-I123)*1440,"")</f>
        <v/>
      </c>
      <c r="N123" s="9" t="s">
        <v>24</v>
      </c>
      <c r="O123" s="1">
        <f>IF(N123="Not Run","",IF(AND(OR(N123="Delivered",N123="Received; receipt pending"),NOT(ISNUMBER(L123))),"Enter valid send and arrival timestamps",IF(AND(N123="Delivered",NOT(ISNUMBER(M123))),"Enter valid sender Delivered timestamp",IF(AND(ISNUMBER(J123),ISNUMBER(K123),K123&lt;J123),"Check clock order: receipt precedes arrival",""))))</f>
        <v/>
      </c>
      <c r="P123" s="9"/>
      <c r="Q123" s="9"/>
      <c r="R123" s="9"/>
      <c r="S123" s="9"/>
      <c r="T123" s="9"/>
      <c r="U123" s="9"/>
      <c r="V123" s="9"/>
    </row>
    <row r="124" spans="1:22" ht="32" customHeight="1">
      <c r="A124" s="1" t="s">
        <v>409</v>
      </c>
      <c r="B124" s="9"/>
      <c r="C124" s="9"/>
      <c r="D124" s="9"/>
      <c r="E124" s="9"/>
      <c r="F124" s="9"/>
      <c r="G124" s="9"/>
      <c r="H124" s="9"/>
      <c r="I124" s="11"/>
      <c r="J124" s="11"/>
      <c r="K124" s="11"/>
      <c r="L124" s="12">
        <f>IF(AND(ISNUMBER(I124),ISNUMBER(J124),J124&gt;=I124),(J124-I124)*1440,"")</f>
        <v/>
      </c>
      <c r="M124" s="12">
        <f>IF(AND(ISNUMBER(I124),ISNUMBER(K124),K124&gt;=I124),(K124-I124)*1440,"")</f>
        <v/>
      </c>
      <c r="N124" s="9" t="s">
        <v>24</v>
      </c>
      <c r="O124" s="1">
        <f>IF(N124="Not Run","",IF(AND(OR(N124="Delivered",N124="Received; receipt pending"),NOT(ISNUMBER(L124))),"Enter valid send and arrival timestamps",IF(AND(N124="Delivered",NOT(ISNUMBER(M124))),"Enter valid sender Delivered timestamp",IF(AND(ISNUMBER(J124),ISNUMBER(K124),K124&lt;J124),"Check clock order: receipt precedes arrival",""))))</f>
        <v/>
      </c>
      <c r="P124" s="9"/>
      <c r="Q124" s="9"/>
      <c r="R124" s="9"/>
      <c r="S124" s="9"/>
      <c r="T124" s="9"/>
      <c r="U124" s="9"/>
      <c r="V124" s="9"/>
    </row>
    <row r="125" spans="1:22" ht="32" customHeight="1">
      <c r="A125" s="1" t="s">
        <v>410</v>
      </c>
      <c r="B125" s="9"/>
      <c r="C125" s="9"/>
      <c r="D125" s="9"/>
      <c r="E125" s="9"/>
      <c r="F125" s="9"/>
      <c r="G125" s="9"/>
      <c r="H125" s="9"/>
      <c r="I125" s="11"/>
      <c r="J125" s="11"/>
      <c r="K125" s="11"/>
      <c r="L125" s="12">
        <f>IF(AND(ISNUMBER(I125),ISNUMBER(J125),J125&gt;=I125),(J125-I125)*1440,"")</f>
        <v/>
      </c>
      <c r="M125" s="12">
        <f>IF(AND(ISNUMBER(I125),ISNUMBER(K125),K125&gt;=I125),(K125-I125)*1440,"")</f>
        <v/>
      </c>
      <c r="N125" s="9" t="s">
        <v>24</v>
      </c>
      <c r="O125" s="1">
        <f>IF(N125="Not Run","",IF(AND(OR(N125="Delivered",N125="Received; receipt pending"),NOT(ISNUMBER(L125))),"Enter valid send and arrival timestamps",IF(AND(N125="Delivered",NOT(ISNUMBER(M125))),"Enter valid sender Delivered timestamp",IF(AND(ISNUMBER(J125),ISNUMBER(K125),K125&lt;J125),"Check clock order: receipt precedes arrival",""))))</f>
        <v/>
      </c>
      <c r="P125" s="9"/>
      <c r="Q125" s="9"/>
      <c r="R125" s="9"/>
      <c r="S125" s="9"/>
      <c r="T125" s="9"/>
      <c r="U125" s="9"/>
      <c r="V125" s="9"/>
    </row>
    <row r="126" spans="1:22" ht="32" customHeight="1">
      <c r="A126" s="1" t="s">
        <v>411</v>
      </c>
      <c r="B126" s="9"/>
      <c r="C126" s="9"/>
      <c r="D126" s="9"/>
      <c r="E126" s="9"/>
      <c r="F126" s="9"/>
      <c r="G126" s="9"/>
      <c r="H126" s="9"/>
      <c r="I126" s="11"/>
      <c r="J126" s="11"/>
      <c r="K126" s="11"/>
      <c r="L126" s="12">
        <f>IF(AND(ISNUMBER(I126),ISNUMBER(J126),J126&gt;=I126),(J126-I126)*1440,"")</f>
        <v/>
      </c>
      <c r="M126" s="12">
        <f>IF(AND(ISNUMBER(I126),ISNUMBER(K126),K126&gt;=I126),(K126-I126)*1440,"")</f>
        <v/>
      </c>
      <c r="N126" s="9" t="s">
        <v>24</v>
      </c>
      <c r="O126" s="1">
        <f>IF(N126="Not Run","",IF(AND(OR(N126="Delivered",N126="Received; receipt pending"),NOT(ISNUMBER(L126))),"Enter valid send and arrival timestamps",IF(AND(N126="Delivered",NOT(ISNUMBER(M126))),"Enter valid sender Delivered timestamp",IF(AND(ISNUMBER(J126),ISNUMBER(K126),K126&lt;J126),"Check clock order: receipt precedes arrival",""))))</f>
        <v/>
      </c>
      <c r="P126" s="9"/>
      <c r="Q126" s="9"/>
      <c r="R126" s="9"/>
      <c r="S126" s="9"/>
      <c r="T126" s="9"/>
      <c r="U126" s="9"/>
      <c r="V126" s="9"/>
    </row>
    <row r="127" spans="1:22" ht="32" customHeight="1">
      <c r="A127" s="1" t="s">
        <v>412</v>
      </c>
      <c r="B127" s="9"/>
      <c r="C127" s="9"/>
      <c r="D127" s="9"/>
      <c r="E127" s="9"/>
      <c r="F127" s="9"/>
      <c r="G127" s="9"/>
      <c r="H127" s="9"/>
      <c r="I127" s="11"/>
      <c r="J127" s="11"/>
      <c r="K127" s="11"/>
      <c r="L127" s="12">
        <f>IF(AND(ISNUMBER(I127),ISNUMBER(J127),J127&gt;=I127),(J127-I127)*1440,"")</f>
        <v/>
      </c>
      <c r="M127" s="12">
        <f>IF(AND(ISNUMBER(I127),ISNUMBER(K127),K127&gt;=I127),(K127-I127)*1440,"")</f>
        <v/>
      </c>
      <c r="N127" s="9" t="s">
        <v>24</v>
      </c>
      <c r="O127" s="1">
        <f>IF(N127="Not Run","",IF(AND(OR(N127="Delivered",N127="Received; receipt pending"),NOT(ISNUMBER(L127))),"Enter valid send and arrival timestamps",IF(AND(N127="Delivered",NOT(ISNUMBER(M127))),"Enter valid sender Delivered timestamp",IF(AND(ISNUMBER(J127),ISNUMBER(K127),K127&lt;J127),"Check clock order: receipt precedes arrival",""))))</f>
        <v/>
      </c>
      <c r="P127" s="9"/>
      <c r="Q127" s="9"/>
      <c r="R127" s="9"/>
      <c r="S127" s="9"/>
      <c r="T127" s="9"/>
      <c r="U127" s="9"/>
      <c r="V127" s="9"/>
    </row>
    <row r="128" spans="1:22" ht="32" customHeight="1">
      <c r="A128" s="1" t="s">
        <v>413</v>
      </c>
      <c r="B128" s="9"/>
      <c r="C128" s="9"/>
      <c r="D128" s="9"/>
      <c r="E128" s="9"/>
      <c r="F128" s="9"/>
      <c r="G128" s="9"/>
      <c r="H128" s="9"/>
      <c r="I128" s="11"/>
      <c r="J128" s="11"/>
      <c r="K128" s="11"/>
      <c r="L128" s="12">
        <f>IF(AND(ISNUMBER(I128),ISNUMBER(J128),J128&gt;=I128),(J128-I128)*1440,"")</f>
        <v/>
      </c>
      <c r="M128" s="12">
        <f>IF(AND(ISNUMBER(I128),ISNUMBER(K128),K128&gt;=I128),(K128-I128)*1440,"")</f>
        <v/>
      </c>
      <c r="N128" s="9" t="s">
        <v>24</v>
      </c>
      <c r="O128" s="1">
        <f>IF(N128="Not Run","",IF(AND(OR(N128="Delivered",N128="Received; receipt pending"),NOT(ISNUMBER(L128))),"Enter valid send and arrival timestamps",IF(AND(N128="Delivered",NOT(ISNUMBER(M128))),"Enter valid sender Delivered timestamp",IF(AND(ISNUMBER(J128),ISNUMBER(K128),K128&lt;J128),"Check clock order: receipt precedes arrival",""))))</f>
        <v/>
      </c>
      <c r="P128" s="9"/>
      <c r="Q128" s="9"/>
      <c r="R128" s="9"/>
      <c r="S128" s="9"/>
      <c r="T128" s="9"/>
      <c r="U128" s="9"/>
      <c r="V128" s="9"/>
    </row>
    <row r="129" spans="1:22" ht="32" customHeight="1">
      <c r="A129" s="1" t="s">
        <v>414</v>
      </c>
      <c r="B129" s="9"/>
      <c r="C129" s="9"/>
      <c r="D129" s="9"/>
      <c r="E129" s="9"/>
      <c r="F129" s="9"/>
      <c r="G129" s="9"/>
      <c r="H129" s="9"/>
      <c r="I129" s="11"/>
      <c r="J129" s="11"/>
      <c r="K129" s="11"/>
      <c r="L129" s="12">
        <f>IF(AND(ISNUMBER(I129),ISNUMBER(J129),J129&gt;=I129),(J129-I129)*1440,"")</f>
        <v/>
      </c>
      <c r="M129" s="12">
        <f>IF(AND(ISNUMBER(I129),ISNUMBER(K129),K129&gt;=I129),(K129-I129)*1440,"")</f>
        <v/>
      </c>
      <c r="N129" s="9" t="s">
        <v>24</v>
      </c>
      <c r="O129" s="1">
        <f>IF(N129="Not Run","",IF(AND(OR(N129="Delivered",N129="Received; receipt pending"),NOT(ISNUMBER(L129))),"Enter valid send and arrival timestamps",IF(AND(N129="Delivered",NOT(ISNUMBER(M129))),"Enter valid sender Delivered timestamp",IF(AND(ISNUMBER(J129),ISNUMBER(K129),K129&lt;J129),"Check clock order: receipt precedes arrival",""))))</f>
        <v/>
      </c>
      <c r="P129" s="9"/>
      <c r="Q129" s="9"/>
      <c r="R129" s="9"/>
      <c r="S129" s="9"/>
      <c r="T129" s="9"/>
      <c r="U129" s="9"/>
      <c r="V129" s="9"/>
    </row>
    <row r="130" spans="1:22" ht="32" customHeight="1">
      <c r="A130" s="1" t="s">
        <v>415</v>
      </c>
      <c r="B130" s="9"/>
      <c r="C130" s="9"/>
      <c r="D130" s="9"/>
      <c r="E130" s="9"/>
      <c r="F130" s="9"/>
      <c r="G130" s="9"/>
      <c r="H130" s="9"/>
      <c r="I130" s="11"/>
      <c r="J130" s="11"/>
      <c r="K130" s="11"/>
      <c r="L130" s="12">
        <f>IF(AND(ISNUMBER(I130),ISNUMBER(J130),J130&gt;=I130),(J130-I130)*1440,"")</f>
        <v/>
      </c>
      <c r="M130" s="12">
        <f>IF(AND(ISNUMBER(I130),ISNUMBER(K130),K130&gt;=I130),(K130-I130)*1440,"")</f>
        <v/>
      </c>
      <c r="N130" s="9" t="s">
        <v>24</v>
      </c>
      <c r="O130" s="1">
        <f>IF(N130="Not Run","",IF(AND(OR(N130="Delivered",N130="Received; receipt pending"),NOT(ISNUMBER(L130))),"Enter valid send and arrival timestamps",IF(AND(N130="Delivered",NOT(ISNUMBER(M130))),"Enter valid sender Delivered timestamp",IF(AND(ISNUMBER(J130),ISNUMBER(K130),K130&lt;J130),"Check clock order: receipt precedes arrival",""))))</f>
        <v/>
      </c>
      <c r="P130" s="9"/>
      <c r="Q130" s="9"/>
      <c r="R130" s="9"/>
      <c r="S130" s="9"/>
      <c r="T130" s="9"/>
      <c r="U130" s="9"/>
      <c r="V130" s="9"/>
    </row>
    <row r="131" spans="1:22" ht="32" customHeight="1">
      <c r="A131" s="1" t="s">
        <v>416</v>
      </c>
      <c r="B131" s="9"/>
      <c r="C131" s="9"/>
      <c r="D131" s="9"/>
      <c r="E131" s="9"/>
      <c r="F131" s="9"/>
      <c r="G131" s="9"/>
      <c r="H131" s="9"/>
      <c r="I131" s="11"/>
      <c r="J131" s="11"/>
      <c r="K131" s="11"/>
      <c r="L131" s="12">
        <f>IF(AND(ISNUMBER(I131),ISNUMBER(J131),J131&gt;=I131),(J131-I131)*1440,"")</f>
        <v/>
      </c>
      <c r="M131" s="12">
        <f>IF(AND(ISNUMBER(I131),ISNUMBER(K131),K131&gt;=I131),(K131-I131)*1440,"")</f>
        <v/>
      </c>
      <c r="N131" s="9" t="s">
        <v>24</v>
      </c>
      <c r="O131" s="1">
        <f>IF(N131="Not Run","",IF(AND(OR(N131="Delivered",N131="Received; receipt pending"),NOT(ISNUMBER(L131))),"Enter valid send and arrival timestamps",IF(AND(N131="Delivered",NOT(ISNUMBER(M131))),"Enter valid sender Delivered timestamp",IF(AND(ISNUMBER(J131),ISNUMBER(K131),K131&lt;J131),"Check clock order: receipt precedes arrival",""))))</f>
        <v/>
      </c>
      <c r="P131" s="9"/>
      <c r="Q131" s="9"/>
      <c r="R131" s="9"/>
      <c r="S131" s="9"/>
      <c r="T131" s="9"/>
      <c r="U131" s="9"/>
      <c r="V131" s="9"/>
    </row>
    <row r="132" spans="1:22" ht="32" customHeight="1">
      <c r="A132" s="1" t="s">
        <v>417</v>
      </c>
      <c r="B132" s="9"/>
      <c r="C132" s="9"/>
      <c r="D132" s="9"/>
      <c r="E132" s="9"/>
      <c r="F132" s="9"/>
      <c r="G132" s="9"/>
      <c r="H132" s="9"/>
      <c r="I132" s="11"/>
      <c r="J132" s="11"/>
      <c r="K132" s="11"/>
      <c r="L132" s="12">
        <f>IF(AND(ISNUMBER(I132),ISNUMBER(J132),J132&gt;=I132),(J132-I132)*1440,"")</f>
        <v/>
      </c>
      <c r="M132" s="12">
        <f>IF(AND(ISNUMBER(I132),ISNUMBER(K132),K132&gt;=I132),(K132-I132)*1440,"")</f>
        <v/>
      </c>
      <c r="N132" s="9" t="s">
        <v>24</v>
      </c>
      <c r="O132" s="1">
        <f>IF(N132="Not Run","",IF(AND(OR(N132="Delivered",N132="Received; receipt pending"),NOT(ISNUMBER(L132))),"Enter valid send and arrival timestamps",IF(AND(N132="Delivered",NOT(ISNUMBER(M132))),"Enter valid sender Delivered timestamp",IF(AND(ISNUMBER(J132),ISNUMBER(K132),K132&lt;J132),"Check clock order: receipt precedes arrival",""))))</f>
        <v/>
      </c>
      <c r="P132" s="9"/>
      <c r="Q132" s="9"/>
      <c r="R132" s="9"/>
      <c r="S132" s="9"/>
      <c r="T132" s="9"/>
      <c r="U132" s="9"/>
      <c r="V132" s="9"/>
    </row>
    <row r="133" spans="1:22" ht="32" customHeight="1">
      <c r="A133" s="1" t="s">
        <v>418</v>
      </c>
      <c r="B133" s="9"/>
      <c r="C133" s="9"/>
      <c r="D133" s="9"/>
      <c r="E133" s="9"/>
      <c r="F133" s="9"/>
      <c r="G133" s="9"/>
      <c r="H133" s="9"/>
      <c r="I133" s="11"/>
      <c r="J133" s="11"/>
      <c r="K133" s="11"/>
      <c r="L133" s="12">
        <f>IF(AND(ISNUMBER(I133),ISNUMBER(J133),J133&gt;=I133),(J133-I133)*1440,"")</f>
        <v/>
      </c>
      <c r="M133" s="12">
        <f>IF(AND(ISNUMBER(I133),ISNUMBER(K133),K133&gt;=I133),(K133-I133)*1440,"")</f>
        <v/>
      </c>
      <c r="N133" s="9" t="s">
        <v>24</v>
      </c>
      <c r="O133" s="1">
        <f>IF(N133="Not Run","",IF(AND(OR(N133="Delivered",N133="Received; receipt pending"),NOT(ISNUMBER(L133))),"Enter valid send and arrival timestamps",IF(AND(N133="Delivered",NOT(ISNUMBER(M133))),"Enter valid sender Delivered timestamp",IF(AND(ISNUMBER(J133),ISNUMBER(K133),K133&lt;J133),"Check clock order: receipt precedes arrival",""))))</f>
        <v/>
      </c>
      <c r="P133" s="9"/>
      <c r="Q133" s="9"/>
      <c r="R133" s="9"/>
      <c r="S133" s="9"/>
      <c r="T133" s="9"/>
      <c r="U133" s="9"/>
      <c r="V133" s="9"/>
    </row>
    <row r="134" spans="1:22" ht="32" customHeight="1">
      <c r="A134" s="1" t="s">
        <v>419</v>
      </c>
      <c r="B134" s="9"/>
      <c r="C134" s="9"/>
      <c r="D134" s="9"/>
      <c r="E134" s="9"/>
      <c r="F134" s="9"/>
      <c r="G134" s="9"/>
      <c r="H134" s="9"/>
      <c r="I134" s="11"/>
      <c r="J134" s="11"/>
      <c r="K134" s="11"/>
      <c r="L134" s="12">
        <f>IF(AND(ISNUMBER(I134),ISNUMBER(J134),J134&gt;=I134),(J134-I134)*1440,"")</f>
        <v/>
      </c>
      <c r="M134" s="12">
        <f>IF(AND(ISNUMBER(I134),ISNUMBER(K134),K134&gt;=I134),(K134-I134)*1440,"")</f>
        <v/>
      </c>
      <c r="N134" s="9" t="s">
        <v>24</v>
      </c>
      <c r="O134" s="1">
        <f>IF(N134="Not Run","",IF(AND(OR(N134="Delivered",N134="Received; receipt pending"),NOT(ISNUMBER(L134))),"Enter valid send and arrival timestamps",IF(AND(N134="Delivered",NOT(ISNUMBER(M134))),"Enter valid sender Delivered timestamp",IF(AND(ISNUMBER(J134),ISNUMBER(K134),K134&lt;J134),"Check clock order: receipt precedes arrival",""))))</f>
        <v/>
      </c>
      <c r="P134" s="9"/>
      <c r="Q134" s="9"/>
      <c r="R134" s="9"/>
      <c r="S134" s="9"/>
      <c r="T134" s="9"/>
      <c r="U134" s="9"/>
      <c r="V134" s="9"/>
    </row>
    <row r="135" spans="1:22" ht="32" customHeight="1">
      <c r="A135" s="1" t="s">
        <v>420</v>
      </c>
      <c r="B135" s="9"/>
      <c r="C135" s="9"/>
      <c r="D135" s="9"/>
      <c r="E135" s="9"/>
      <c r="F135" s="9"/>
      <c r="G135" s="9"/>
      <c r="H135" s="9"/>
      <c r="I135" s="11"/>
      <c r="J135" s="11"/>
      <c r="K135" s="11"/>
      <c r="L135" s="12">
        <f>IF(AND(ISNUMBER(I135),ISNUMBER(J135),J135&gt;=I135),(J135-I135)*1440,"")</f>
        <v/>
      </c>
      <c r="M135" s="12">
        <f>IF(AND(ISNUMBER(I135),ISNUMBER(K135),K135&gt;=I135),(K135-I135)*1440,"")</f>
        <v/>
      </c>
      <c r="N135" s="9" t="s">
        <v>24</v>
      </c>
      <c r="O135" s="1">
        <f>IF(N135="Not Run","",IF(AND(OR(N135="Delivered",N135="Received; receipt pending"),NOT(ISNUMBER(L135))),"Enter valid send and arrival timestamps",IF(AND(N135="Delivered",NOT(ISNUMBER(M135))),"Enter valid sender Delivered timestamp",IF(AND(ISNUMBER(J135),ISNUMBER(K135),K135&lt;J135),"Check clock order: receipt precedes arrival",""))))</f>
        <v/>
      </c>
      <c r="P135" s="9"/>
      <c r="Q135" s="9"/>
      <c r="R135" s="9"/>
      <c r="S135" s="9"/>
      <c r="T135" s="9"/>
      <c r="U135" s="9"/>
      <c r="V135" s="9"/>
    </row>
    <row r="136" spans="1:22" ht="32" customHeight="1">
      <c r="A136" s="1" t="s">
        <v>421</v>
      </c>
      <c r="B136" s="9"/>
      <c r="C136" s="9"/>
      <c r="D136" s="9"/>
      <c r="E136" s="9"/>
      <c r="F136" s="9"/>
      <c r="G136" s="9"/>
      <c r="H136" s="9"/>
      <c r="I136" s="11"/>
      <c r="J136" s="11"/>
      <c r="K136" s="11"/>
      <c r="L136" s="12">
        <f>IF(AND(ISNUMBER(I136),ISNUMBER(J136),J136&gt;=I136),(J136-I136)*1440,"")</f>
        <v/>
      </c>
      <c r="M136" s="12">
        <f>IF(AND(ISNUMBER(I136),ISNUMBER(K136),K136&gt;=I136),(K136-I136)*1440,"")</f>
        <v/>
      </c>
      <c r="N136" s="9" t="s">
        <v>24</v>
      </c>
      <c r="O136" s="1">
        <f>IF(N136="Not Run","",IF(AND(OR(N136="Delivered",N136="Received; receipt pending"),NOT(ISNUMBER(L136))),"Enter valid send and arrival timestamps",IF(AND(N136="Delivered",NOT(ISNUMBER(M136))),"Enter valid sender Delivered timestamp",IF(AND(ISNUMBER(J136),ISNUMBER(K136),K136&lt;J136),"Check clock order: receipt precedes arrival",""))))</f>
        <v/>
      </c>
      <c r="P136" s="9"/>
      <c r="Q136" s="9"/>
      <c r="R136" s="9"/>
      <c r="S136" s="9"/>
      <c r="T136" s="9"/>
      <c r="U136" s="9"/>
      <c r="V136" s="9"/>
    </row>
    <row r="137" spans="1:22" ht="32" customHeight="1">
      <c r="A137" s="1" t="s">
        <v>422</v>
      </c>
      <c r="B137" s="9"/>
      <c r="C137" s="9"/>
      <c r="D137" s="9"/>
      <c r="E137" s="9"/>
      <c r="F137" s="9"/>
      <c r="G137" s="9"/>
      <c r="H137" s="9"/>
      <c r="I137" s="11"/>
      <c r="J137" s="11"/>
      <c r="K137" s="11"/>
      <c r="L137" s="12">
        <f>IF(AND(ISNUMBER(I137),ISNUMBER(J137),J137&gt;=I137),(J137-I137)*1440,"")</f>
        <v/>
      </c>
      <c r="M137" s="12">
        <f>IF(AND(ISNUMBER(I137),ISNUMBER(K137),K137&gt;=I137),(K137-I137)*1440,"")</f>
        <v/>
      </c>
      <c r="N137" s="9" t="s">
        <v>24</v>
      </c>
      <c r="O137" s="1">
        <f>IF(N137="Not Run","",IF(AND(OR(N137="Delivered",N137="Received; receipt pending"),NOT(ISNUMBER(L137))),"Enter valid send and arrival timestamps",IF(AND(N137="Delivered",NOT(ISNUMBER(M137))),"Enter valid sender Delivered timestamp",IF(AND(ISNUMBER(J137),ISNUMBER(K137),K137&lt;J137),"Check clock order: receipt precedes arrival",""))))</f>
        <v/>
      </c>
      <c r="P137" s="9"/>
      <c r="Q137" s="9"/>
      <c r="R137" s="9"/>
      <c r="S137" s="9"/>
      <c r="T137" s="9"/>
      <c r="U137" s="9"/>
      <c r="V137" s="9"/>
    </row>
    <row r="138" spans="1:22" ht="32" customHeight="1">
      <c r="A138" s="1" t="s">
        <v>423</v>
      </c>
      <c r="B138" s="9"/>
      <c r="C138" s="9"/>
      <c r="D138" s="9"/>
      <c r="E138" s="9"/>
      <c r="F138" s="9"/>
      <c r="G138" s="9"/>
      <c r="H138" s="9"/>
      <c r="I138" s="11"/>
      <c r="J138" s="11"/>
      <c r="K138" s="11"/>
      <c r="L138" s="12">
        <f>IF(AND(ISNUMBER(I138),ISNUMBER(J138),J138&gt;=I138),(J138-I138)*1440,"")</f>
        <v/>
      </c>
      <c r="M138" s="12">
        <f>IF(AND(ISNUMBER(I138),ISNUMBER(K138),K138&gt;=I138),(K138-I138)*1440,"")</f>
        <v/>
      </c>
      <c r="N138" s="9" t="s">
        <v>24</v>
      </c>
      <c r="O138" s="1">
        <f>IF(N138="Not Run","",IF(AND(OR(N138="Delivered",N138="Received; receipt pending"),NOT(ISNUMBER(L138))),"Enter valid send and arrival timestamps",IF(AND(N138="Delivered",NOT(ISNUMBER(M138))),"Enter valid sender Delivered timestamp",IF(AND(ISNUMBER(J138),ISNUMBER(K138),K138&lt;J138),"Check clock order: receipt precedes arrival",""))))</f>
        <v/>
      </c>
      <c r="P138" s="9"/>
      <c r="Q138" s="9"/>
      <c r="R138" s="9"/>
      <c r="S138" s="9"/>
      <c r="T138" s="9"/>
      <c r="U138" s="9"/>
      <c r="V138" s="9"/>
    </row>
    <row r="139" spans="1:22" ht="32" customHeight="1">
      <c r="A139" s="1" t="s">
        <v>424</v>
      </c>
      <c r="B139" s="9"/>
      <c r="C139" s="9"/>
      <c r="D139" s="9"/>
      <c r="E139" s="9"/>
      <c r="F139" s="9"/>
      <c r="G139" s="9"/>
      <c r="H139" s="9"/>
      <c r="I139" s="11"/>
      <c r="J139" s="11"/>
      <c r="K139" s="11"/>
      <c r="L139" s="12">
        <f>IF(AND(ISNUMBER(I139),ISNUMBER(J139),J139&gt;=I139),(J139-I139)*1440,"")</f>
        <v/>
      </c>
      <c r="M139" s="12">
        <f>IF(AND(ISNUMBER(I139),ISNUMBER(K139),K139&gt;=I139),(K139-I139)*1440,"")</f>
        <v/>
      </c>
      <c r="N139" s="9" t="s">
        <v>24</v>
      </c>
      <c r="O139" s="1">
        <f>IF(N139="Not Run","",IF(AND(OR(N139="Delivered",N139="Received; receipt pending"),NOT(ISNUMBER(L139))),"Enter valid send and arrival timestamps",IF(AND(N139="Delivered",NOT(ISNUMBER(M139))),"Enter valid sender Delivered timestamp",IF(AND(ISNUMBER(J139),ISNUMBER(K139),K139&lt;J139),"Check clock order: receipt precedes arrival",""))))</f>
        <v/>
      </c>
      <c r="P139" s="9"/>
      <c r="Q139" s="9"/>
      <c r="R139" s="9"/>
      <c r="S139" s="9"/>
      <c r="T139" s="9"/>
      <c r="U139" s="9"/>
      <c r="V139" s="9"/>
    </row>
    <row r="140" spans="1:22" ht="32" customHeight="1">
      <c r="A140" s="1" t="s">
        <v>425</v>
      </c>
      <c r="B140" s="9"/>
      <c r="C140" s="9"/>
      <c r="D140" s="9"/>
      <c r="E140" s="9"/>
      <c r="F140" s="9"/>
      <c r="G140" s="9"/>
      <c r="H140" s="9"/>
      <c r="I140" s="11"/>
      <c r="J140" s="11"/>
      <c r="K140" s="11"/>
      <c r="L140" s="12">
        <f>IF(AND(ISNUMBER(I140),ISNUMBER(J140),J140&gt;=I140),(J140-I140)*1440,"")</f>
        <v/>
      </c>
      <c r="M140" s="12">
        <f>IF(AND(ISNUMBER(I140),ISNUMBER(K140),K140&gt;=I140),(K140-I140)*1440,"")</f>
        <v/>
      </c>
      <c r="N140" s="9" t="s">
        <v>24</v>
      </c>
      <c r="O140" s="1">
        <f>IF(N140="Not Run","",IF(AND(OR(N140="Delivered",N140="Received; receipt pending"),NOT(ISNUMBER(L140))),"Enter valid send and arrival timestamps",IF(AND(N140="Delivered",NOT(ISNUMBER(M140))),"Enter valid sender Delivered timestamp",IF(AND(ISNUMBER(J140),ISNUMBER(K140),K140&lt;J140),"Check clock order: receipt precedes arrival",""))))</f>
        <v/>
      </c>
      <c r="P140" s="9"/>
      <c r="Q140" s="9"/>
      <c r="R140" s="9"/>
      <c r="S140" s="9"/>
      <c r="T140" s="9"/>
      <c r="U140" s="9"/>
      <c r="V140" s="9"/>
    </row>
    <row r="141" spans="1:22" ht="32" customHeight="1">
      <c r="A141" s="1" t="s">
        <v>426</v>
      </c>
      <c r="B141" s="9"/>
      <c r="C141" s="9"/>
      <c r="D141" s="9"/>
      <c r="E141" s="9"/>
      <c r="F141" s="9"/>
      <c r="G141" s="9"/>
      <c r="H141" s="9"/>
      <c r="I141" s="11"/>
      <c r="J141" s="11"/>
      <c r="K141" s="11"/>
      <c r="L141" s="12">
        <f>IF(AND(ISNUMBER(I141),ISNUMBER(J141),J141&gt;=I141),(J141-I141)*1440,"")</f>
        <v/>
      </c>
      <c r="M141" s="12">
        <f>IF(AND(ISNUMBER(I141),ISNUMBER(K141),K141&gt;=I141),(K141-I141)*1440,"")</f>
        <v/>
      </c>
      <c r="N141" s="9" t="s">
        <v>24</v>
      </c>
      <c r="O141" s="1">
        <f>IF(N141="Not Run","",IF(AND(OR(N141="Delivered",N141="Received; receipt pending"),NOT(ISNUMBER(L141))),"Enter valid send and arrival timestamps",IF(AND(N141="Delivered",NOT(ISNUMBER(M141))),"Enter valid sender Delivered timestamp",IF(AND(ISNUMBER(J141),ISNUMBER(K141),K141&lt;J141),"Check clock order: receipt precedes arrival",""))))</f>
        <v/>
      </c>
      <c r="P141" s="9"/>
      <c r="Q141" s="9"/>
      <c r="R141" s="9"/>
      <c r="S141" s="9"/>
      <c r="T141" s="9"/>
      <c r="U141" s="9"/>
      <c r="V141" s="9"/>
    </row>
    <row r="142" spans="1:22" ht="32" customHeight="1">
      <c r="A142" s="1" t="s">
        <v>427</v>
      </c>
      <c r="B142" s="9"/>
      <c r="C142" s="9"/>
      <c r="D142" s="9"/>
      <c r="E142" s="9"/>
      <c r="F142" s="9"/>
      <c r="G142" s="9"/>
      <c r="H142" s="9"/>
      <c r="I142" s="11"/>
      <c r="J142" s="11"/>
      <c r="K142" s="11"/>
      <c r="L142" s="12">
        <f>IF(AND(ISNUMBER(I142),ISNUMBER(J142),J142&gt;=I142),(J142-I142)*1440,"")</f>
        <v/>
      </c>
      <c r="M142" s="12">
        <f>IF(AND(ISNUMBER(I142),ISNUMBER(K142),K142&gt;=I142),(K142-I142)*1440,"")</f>
        <v/>
      </c>
      <c r="N142" s="9" t="s">
        <v>24</v>
      </c>
      <c r="O142" s="1">
        <f>IF(N142="Not Run","",IF(AND(OR(N142="Delivered",N142="Received; receipt pending"),NOT(ISNUMBER(L142))),"Enter valid send and arrival timestamps",IF(AND(N142="Delivered",NOT(ISNUMBER(M142))),"Enter valid sender Delivered timestamp",IF(AND(ISNUMBER(J142),ISNUMBER(K142),K142&lt;J142),"Check clock order: receipt precedes arrival",""))))</f>
        <v/>
      </c>
      <c r="P142" s="9"/>
      <c r="Q142" s="9"/>
      <c r="R142" s="9"/>
      <c r="S142" s="9"/>
      <c r="T142" s="9"/>
      <c r="U142" s="9"/>
      <c r="V142" s="9"/>
    </row>
    <row r="143" spans="1:22" ht="32" customHeight="1">
      <c r="A143" s="1" t="s">
        <v>428</v>
      </c>
      <c r="B143" s="9"/>
      <c r="C143" s="9"/>
      <c r="D143" s="9"/>
      <c r="E143" s="9"/>
      <c r="F143" s="9"/>
      <c r="G143" s="9"/>
      <c r="H143" s="9"/>
      <c r="I143" s="11"/>
      <c r="J143" s="11"/>
      <c r="K143" s="11"/>
      <c r="L143" s="12">
        <f>IF(AND(ISNUMBER(I143),ISNUMBER(J143),J143&gt;=I143),(J143-I143)*1440,"")</f>
        <v/>
      </c>
      <c r="M143" s="12">
        <f>IF(AND(ISNUMBER(I143),ISNUMBER(K143),K143&gt;=I143),(K143-I143)*1440,"")</f>
        <v/>
      </c>
      <c r="N143" s="9" t="s">
        <v>24</v>
      </c>
      <c r="O143" s="1">
        <f>IF(N143="Not Run","",IF(AND(OR(N143="Delivered",N143="Received; receipt pending"),NOT(ISNUMBER(L143))),"Enter valid send and arrival timestamps",IF(AND(N143="Delivered",NOT(ISNUMBER(M143))),"Enter valid sender Delivered timestamp",IF(AND(ISNUMBER(J143),ISNUMBER(K143),K143&lt;J143),"Check clock order: receipt precedes arrival",""))))</f>
        <v/>
      </c>
      <c r="P143" s="9"/>
      <c r="Q143" s="9"/>
      <c r="R143" s="9"/>
      <c r="S143" s="9"/>
      <c r="T143" s="9"/>
      <c r="U143" s="9"/>
      <c r="V143" s="9"/>
    </row>
    <row r="144" spans="1:22" ht="32" customHeight="1">
      <c r="A144" s="1" t="s">
        <v>429</v>
      </c>
      <c r="B144" s="9"/>
      <c r="C144" s="9"/>
      <c r="D144" s="9"/>
      <c r="E144" s="9"/>
      <c r="F144" s="9"/>
      <c r="G144" s="9"/>
      <c r="H144" s="9"/>
      <c r="I144" s="11"/>
      <c r="J144" s="11"/>
      <c r="K144" s="11"/>
      <c r="L144" s="12">
        <f>IF(AND(ISNUMBER(I144),ISNUMBER(J144),J144&gt;=I144),(J144-I144)*1440,"")</f>
        <v/>
      </c>
      <c r="M144" s="12">
        <f>IF(AND(ISNUMBER(I144),ISNUMBER(K144),K144&gt;=I144),(K144-I144)*1440,"")</f>
        <v/>
      </c>
      <c r="N144" s="9" t="s">
        <v>24</v>
      </c>
      <c r="O144" s="1">
        <f>IF(N144="Not Run","",IF(AND(OR(N144="Delivered",N144="Received; receipt pending"),NOT(ISNUMBER(L144))),"Enter valid send and arrival timestamps",IF(AND(N144="Delivered",NOT(ISNUMBER(M144))),"Enter valid sender Delivered timestamp",IF(AND(ISNUMBER(J144),ISNUMBER(K144),K144&lt;J144),"Check clock order: receipt precedes arrival",""))))</f>
        <v/>
      </c>
      <c r="P144" s="9"/>
      <c r="Q144" s="9"/>
      <c r="R144" s="9"/>
      <c r="S144" s="9"/>
      <c r="T144" s="9"/>
      <c r="U144" s="9"/>
      <c r="V144" s="9"/>
    </row>
    <row r="145" spans="1:22" ht="32" customHeight="1">
      <c r="A145" s="1" t="s">
        <v>430</v>
      </c>
      <c r="B145" s="9"/>
      <c r="C145" s="9"/>
      <c r="D145" s="9"/>
      <c r="E145" s="9"/>
      <c r="F145" s="9"/>
      <c r="G145" s="9"/>
      <c r="H145" s="9"/>
      <c r="I145" s="11"/>
      <c r="J145" s="11"/>
      <c r="K145" s="11"/>
      <c r="L145" s="12">
        <f>IF(AND(ISNUMBER(I145),ISNUMBER(J145),J145&gt;=I145),(J145-I145)*1440,"")</f>
        <v/>
      </c>
      <c r="M145" s="12">
        <f>IF(AND(ISNUMBER(I145),ISNUMBER(K145),K145&gt;=I145),(K145-I145)*1440,"")</f>
        <v/>
      </c>
      <c r="N145" s="9" t="s">
        <v>24</v>
      </c>
      <c r="O145" s="1">
        <f>IF(N145="Not Run","",IF(AND(OR(N145="Delivered",N145="Received; receipt pending"),NOT(ISNUMBER(L145))),"Enter valid send and arrival timestamps",IF(AND(N145="Delivered",NOT(ISNUMBER(M145))),"Enter valid sender Delivered timestamp",IF(AND(ISNUMBER(J145),ISNUMBER(K145),K145&lt;J145),"Check clock order: receipt precedes arrival",""))))</f>
        <v/>
      </c>
      <c r="P145" s="9"/>
      <c r="Q145" s="9"/>
      <c r="R145" s="9"/>
      <c r="S145" s="9"/>
      <c r="T145" s="9"/>
      <c r="U145" s="9"/>
      <c r="V145" s="9"/>
    </row>
    <row r="146" spans="1:22" ht="32" customHeight="1">
      <c r="A146" s="1" t="s">
        <v>431</v>
      </c>
      <c r="B146" s="9"/>
      <c r="C146" s="9"/>
      <c r="D146" s="9"/>
      <c r="E146" s="9"/>
      <c r="F146" s="9"/>
      <c r="G146" s="9"/>
      <c r="H146" s="9"/>
      <c r="I146" s="11"/>
      <c r="J146" s="11"/>
      <c r="K146" s="11"/>
      <c r="L146" s="12">
        <f>IF(AND(ISNUMBER(I146),ISNUMBER(J146),J146&gt;=I146),(J146-I146)*1440,"")</f>
        <v/>
      </c>
      <c r="M146" s="12">
        <f>IF(AND(ISNUMBER(I146),ISNUMBER(K146),K146&gt;=I146),(K146-I146)*1440,"")</f>
        <v/>
      </c>
      <c r="N146" s="9" t="s">
        <v>24</v>
      </c>
      <c r="O146" s="1">
        <f>IF(N146="Not Run","",IF(AND(OR(N146="Delivered",N146="Received; receipt pending"),NOT(ISNUMBER(L146))),"Enter valid send and arrival timestamps",IF(AND(N146="Delivered",NOT(ISNUMBER(M146))),"Enter valid sender Delivered timestamp",IF(AND(ISNUMBER(J146),ISNUMBER(K146),K146&lt;J146),"Check clock order: receipt precedes arrival",""))))</f>
        <v/>
      </c>
      <c r="P146" s="9"/>
      <c r="Q146" s="9"/>
      <c r="R146" s="9"/>
      <c r="S146" s="9"/>
      <c r="T146" s="9"/>
      <c r="U146" s="9"/>
      <c r="V146" s="9"/>
    </row>
    <row r="147" spans="1:22" ht="32" customHeight="1">
      <c r="A147" s="1" t="s">
        <v>432</v>
      </c>
      <c r="B147" s="9"/>
      <c r="C147" s="9"/>
      <c r="D147" s="9"/>
      <c r="E147" s="9"/>
      <c r="F147" s="9"/>
      <c r="G147" s="9"/>
      <c r="H147" s="9"/>
      <c r="I147" s="11"/>
      <c r="J147" s="11"/>
      <c r="K147" s="11"/>
      <c r="L147" s="12">
        <f>IF(AND(ISNUMBER(I147),ISNUMBER(J147),J147&gt;=I147),(J147-I147)*1440,"")</f>
        <v/>
      </c>
      <c r="M147" s="12">
        <f>IF(AND(ISNUMBER(I147),ISNUMBER(K147),K147&gt;=I147),(K147-I147)*1440,"")</f>
        <v/>
      </c>
      <c r="N147" s="9" t="s">
        <v>24</v>
      </c>
      <c r="O147" s="1">
        <f>IF(N147="Not Run","",IF(AND(OR(N147="Delivered",N147="Received; receipt pending"),NOT(ISNUMBER(L147))),"Enter valid send and arrival timestamps",IF(AND(N147="Delivered",NOT(ISNUMBER(M147))),"Enter valid sender Delivered timestamp",IF(AND(ISNUMBER(J147),ISNUMBER(K147),K147&lt;J147),"Check clock order: receipt precedes arrival",""))))</f>
        <v/>
      </c>
      <c r="P147" s="9"/>
      <c r="Q147" s="9"/>
      <c r="R147" s="9"/>
      <c r="S147" s="9"/>
      <c r="T147" s="9"/>
      <c r="U147" s="9"/>
      <c r="V147" s="9"/>
    </row>
    <row r="148" spans="1:22" ht="32" customHeight="1">
      <c r="A148" s="1" t="s">
        <v>433</v>
      </c>
      <c r="B148" s="9"/>
      <c r="C148" s="9"/>
      <c r="D148" s="9"/>
      <c r="E148" s="9"/>
      <c r="F148" s="9"/>
      <c r="G148" s="9"/>
      <c r="H148" s="9"/>
      <c r="I148" s="11"/>
      <c r="J148" s="11"/>
      <c r="K148" s="11"/>
      <c r="L148" s="12">
        <f>IF(AND(ISNUMBER(I148),ISNUMBER(J148),J148&gt;=I148),(J148-I148)*1440,"")</f>
        <v/>
      </c>
      <c r="M148" s="12">
        <f>IF(AND(ISNUMBER(I148),ISNUMBER(K148),K148&gt;=I148),(K148-I148)*1440,"")</f>
        <v/>
      </c>
      <c r="N148" s="9" t="s">
        <v>24</v>
      </c>
      <c r="O148" s="1">
        <f>IF(N148="Not Run","",IF(AND(OR(N148="Delivered",N148="Received; receipt pending"),NOT(ISNUMBER(L148))),"Enter valid send and arrival timestamps",IF(AND(N148="Delivered",NOT(ISNUMBER(M148))),"Enter valid sender Delivered timestamp",IF(AND(ISNUMBER(J148),ISNUMBER(K148),K148&lt;J148),"Check clock order: receipt precedes arrival",""))))</f>
        <v/>
      </c>
      <c r="P148" s="9"/>
      <c r="Q148" s="9"/>
      <c r="R148" s="9"/>
      <c r="S148" s="9"/>
      <c r="T148" s="9"/>
      <c r="U148" s="9"/>
      <c r="V148" s="9"/>
    </row>
    <row r="149" spans="1:22" ht="32" customHeight="1">
      <c r="A149" s="1" t="s">
        <v>434</v>
      </c>
      <c r="B149" s="9"/>
      <c r="C149" s="9"/>
      <c r="D149" s="9"/>
      <c r="E149" s="9"/>
      <c r="F149" s="9"/>
      <c r="G149" s="9"/>
      <c r="H149" s="9"/>
      <c r="I149" s="11"/>
      <c r="J149" s="11"/>
      <c r="K149" s="11"/>
      <c r="L149" s="12">
        <f>IF(AND(ISNUMBER(I149),ISNUMBER(J149),J149&gt;=I149),(J149-I149)*1440,"")</f>
        <v/>
      </c>
      <c r="M149" s="12">
        <f>IF(AND(ISNUMBER(I149),ISNUMBER(K149),K149&gt;=I149),(K149-I149)*1440,"")</f>
        <v/>
      </c>
      <c r="N149" s="9" t="s">
        <v>24</v>
      </c>
      <c r="O149" s="1">
        <f>IF(N149="Not Run","",IF(AND(OR(N149="Delivered",N149="Received; receipt pending"),NOT(ISNUMBER(L149))),"Enter valid send and arrival timestamps",IF(AND(N149="Delivered",NOT(ISNUMBER(M149))),"Enter valid sender Delivered timestamp",IF(AND(ISNUMBER(J149),ISNUMBER(K149),K149&lt;J149),"Check clock order: receipt precedes arrival",""))))</f>
        <v/>
      </c>
      <c r="P149" s="9"/>
      <c r="Q149" s="9"/>
      <c r="R149" s="9"/>
      <c r="S149" s="9"/>
      <c r="T149" s="9"/>
      <c r="U149" s="9"/>
      <c r="V149" s="9"/>
    </row>
    <row r="150" spans="1:22" ht="32" customHeight="1">
      <c r="A150" s="1" t="s">
        <v>435</v>
      </c>
      <c r="B150" s="9"/>
      <c r="C150" s="9"/>
      <c r="D150" s="9"/>
      <c r="E150" s="9"/>
      <c r="F150" s="9"/>
      <c r="G150" s="9"/>
      <c r="H150" s="9"/>
      <c r="I150" s="11"/>
      <c r="J150" s="11"/>
      <c r="K150" s="11"/>
      <c r="L150" s="12">
        <f>IF(AND(ISNUMBER(I150),ISNUMBER(J150),J150&gt;=I150),(J150-I150)*1440,"")</f>
        <v/>
      </c>
      <c r="M150" s="12">
        <f>IF(AND(ISNUMBER(I150),ISNUMBER(K150),K150&gt;=I150),(K150-I150)*1440,"")</f>
        <v/>
      </c>
      <c r="N150" s="9" t="s">
        <v>24</v>
      </c>
      <c r="O150" s="1">
        <f>IF(N150="Not Run","",IF(AND(OR(N150="Delivered",N150="Received; receipt pending"),NOT(ISNUMBER(L150))),"Enter valid send and arrival timestamps",IF(AND(N150="Delivered",NOT(ISNUMBER(M150))),"Enter valid sender Delivered timestamp",IF(AND(ISNUMBER(J150),ISNUMBER(K150),K150&lt;J150),"Check clock order: receipt precedes arrival",""))))</f>
        <v/>
      </c>
      <c r="P150" s="9"/>
      <c r="Q150" s="9"/>
      <c r="R150" s="9"/>
      <c r="S150" s="9"/>
      <c r="T150" s="9"/>
      <c r="U150" s="9"/>
      <c r="V150" s="9"/>
    </row>
    <row r="151" spans="1:22" ht="32" customHeight="1">
      <c r="A151" s="1" t="s">
        <v>436</v>
      </c>
      <c r="B151" s="9"/>
      <c r="C151" s="9"/>
      <c r="D151" s="9"/>
      <c r="E151" s="9"/>
      <c r="F151" s="9"/>
      <c r="G151" s="9"/>
      <c r="H151" s="9"/>
      <c r="I151" s="11"/>
      <c r="J151" s="11"/>
      <c r="K151" s="11"/>
      <c r="L151" s="12">
        <f>IF(AND(ISNUMBER(I151),ISNUMBER(J151),J151&gt;=I151),(J151-I151)*1440,"")</f>
        <v/>
      </c>
      <c r="M151" s="12">
        <f>IF(AND(ISNUMBER(I151),ISNUMBER(K151),K151&gt;=I151),(K151-I151)*1440,"")</f>
        <v/>
      </c>
      <c r="N151" s="9" t="s">
        <v>24</v>
      </c>
      <c r="O151" s="1">
        <f>IF(N151="Not Run","",IF(AND(OR(N151="Delivered",N151="Received; receipt pending"),NOT(ISNUMBER(L151))),"Enter valid send and arrival timestamps",IF(AND(N151="Delivered",NOT(ISNUMBER(M151))),"Enter valid sender Delivered timestamp",IF(AND(ISNUMBER(J151),ISNUMBER(K151),K151&lt;J151),"Check clock order: receipt precedes arrival",""))))</f>
        <v/>
      </c>
      <c r="P151" s="9"/>
      <c r="Q151" s="9"/>
      <c r="R151" s="9"/>
      <c r="S151" s="9"/>
      <c r="T151" s="9"/>
      <c r="U151" s="9"/>
      <c r="V151" s="9"/>
    </row>
    <row r="152" spans="1:22" ht="32" customHeight="1">
      <c r="A152" s="1" t="s">
        <v>437</v>
      </c>
      <c r="B152" s="9"/>
      <c r="C152" s="9"/>
      <c r="D152" s="9"/>
      <c r="E152" s="9"/>
      <c r="F152" s="9"/>
      <c r="G152" s="9"/>
      <c r="H152" s="9"/>
      <c r="I152" s="11"/>
      <c r="J152" s="11"/>
      <c r="K152" s="11"/>
      <c r="L152" s="12">
        <f>IF(AND(ISNUMBER(I152),ISNUMBER(J152),J152&gt;=I152),(J152-I152)*1440,"")</f>
        <v/>
      </c>
      <c r="M152" s="12">
        <f>IF(AND(ISNUMBER(I152),ISNUMBER(K152),K152&gt;=I152),(K152-I152)*1440,"")</f>
        <v/>
      </c>
      <c r="N152" s="9" t="s">
        <v>24</v>
      </c>
      <c r="O152" s="1">
        <f>IF(N152="Not Run","",IF(AND(OR(N152="Delivered",N152="Received; receipt pending"),NOT(ISNUMBER(L152))),"Enter valid send and arrival timestamps",IF(AND(N152="Delivered",NOT(ISNUMBER(M152))),"Enter valid sender Delivered timestamp",IF(AND(ISNUMBER(J152),ISNUMBER(K152),K152&lt;J152),"Check clock order: receipt precedes arrival",""))))</f>
        <v/>
      </c>
      <c r="P152" s="9"/>
      <c r="Q152" s="9"/>
      <c r="R152" s="9"/>
      <c r="S152" s="9"/>
      <c r="T152" s="9"/>
      <c r="U152" s="9"/>
      <c r="V152" s="9"/>
    </row>
    <row r="153" spans="1:22" ht="32" customHeight="1">
      <c r="A153" s="1" t="s">
        <v>438</v>
      </c>
      <c r="B153" s="9"/>
      <c r="C153" s="9"/>
      <c r="D153" s="9"/>
      <c r="E153" s="9"/>
      <c r="F153" s="9"/>
      <c r="G153" s="9"/>
      <c r="H153" s="9"/>
      <c r="I153" s="11"/>
      <c r="J153" s="11"/>
      <c r="K153" s="11"/>
      <c r="L153" s="12">
        <f>IF(AND(ISNUMBER(I153),ISNUMBER(J153),J153&gt;=I153),(J153-I153)*1440,"")</f>
        <v/>
      </c>
      <c r="M153" s="12">
        <f>IF(AND(ISNUMBER(I153),ISNUMBER(K153),K153&gt;=I153),(K153-I153)*1440,"")</f>
        <v/>
      </c>
      <c r="N153" s="9" t="s">
        <v>24</v>
      </c>
      <c r="O153" s="1">
        <f>IF(N153="Not Run","",IF(AND(OR(N153="Delivered",N153="Received; receipt pending"),NOT(ISNUMBER(L153))),"Enter valid send and arrival timestamps",IF(AND(N153="Delivered",NOT(ISNUMBER(M153))),"Enter valid sender Delivered timestamp",IF(AND(ISNUMBER(J153),ISNUMBER(K153),K153&lt;J153),"Check clock order: receipt precedes arrival",""))))</f>
        <v/>
      </c>
      <c r="P153" s="9"/>
      <c r="Q153" s="9"/>
      <c r="R153" s="9"/>
      <c r="S153" s="9"/>
      <c r="T153" s="9"/>
      <c r="U153" s="9"/>
      <c r="V153" s="9"/>
    </row>
    <row r="154" spans="1:22" ht="32" customHeight="1">
      <c r="A154" s="1" t="s">
        <v>439</v>
      </c>
      <c r="B154" s="9"/>
      <c r="C154" s="9"/>
      <c r="D154" s="9"/>
      <c r="E154" s="9"/>
      <c r="F154" s="9"/>
      <c r="G154" s="9"/>
      <c r="H154" s="9"/>
      <c r="I154" s="11"/>
      <c r="J154" s="11"/>
      <c r="K154" s="11"/>
      <c r="L154" s="12">
        <f>IF(AND(ISNUMBER(I154),ISNUMBER(J154),J154&gt;=I154),(J154-I154)*1440,"")</f>
        <v/>
      </c>
      <c r="M154" s="12">
        <f>IF(AND(ISNUMBER(I154),ISNUMBER(K154),K154&gt;=I154),(K154-I154)*1440,"")</f>
        <v/>
      </c>
      <c r="N154" s="9" t="s">
        <v>24</v>
      </c>
      <c r="O154" s="1">
        <f>IF(N154="Not Run","",IF(AND(OR(N154="Delivered",N154="Received; receipt pending"),NOT(ISNUMBER(L154))),"Enter valid send and arrival timestamps",IF(AND(N154="Delivered",NOT(ISNUMBER(M154))),"Enter valid sender Delivered timestamp",IF(AND(ISNUMBER(J154),ISNUMBER(K154),K154&lt;J154),"Check clock order: receipt precedes arrival",""))))</f>
        <v/>
      </c>
      <c r="P154" s="9"/>
      <c r="Q154" s="9"/>
      <c r="R154" s="9"/>
      <c r="S154" s="9"/>
      <c r="T154" s="9"/>
      <c r="U154" s="9"/>
      <c r="V154" s="9"/>
    </row>
    <row r="155" spans="1:22" ht="32" customHeight="1">
      <c r="A155" s="1" t="s">
        <v>440</v>
      </c>
      <c r="B155" s="9"/>
      <c r="C155" s="9"/>
      <c r="D155" s="9"/>
      <c r="E155" s="9"/>
      <c r="F155" s="9"/>
      <c r="G155" s="9"/>
      <c r="H155" s="9"/>
      <c r="I155" s="11"/>
      <c r="J155" s="11"/>
      <c r="K155" s="11"/>
      <c r="L155" s="12">
        <f>IF(AND(ISNUMBER(I155),ISNUMBER(J155),J155&gt;=I155),(J155-I155)*1440,"")</f>
        <v/>
      </c>
      <c r="M155" s="12">
        <f>IF(AND(ISNUMBER(I155),ISNUMBER(K155),K155&gt;=I155),(K155-I155)*1440,"")</f>
        <v/>
      </c>
      <c r="N155" s="9" t="s">
        <v>24</v>
      </c>
      <c r="O155" s="1">
        <f>IF(N155="Not Run","",IF(AND(OR(N155="Delivered",N155="Received; receipt pending"),NOT(ISNUMBER(L155))),"Enter valid send and arrival timestamps",IF(AND(N155="Delivered",NOT(ISNUMBER(M155))),"Enter valid sender Delivered timestamp",IF(AND(ISNUMBER(J155),ISNUMBER(K155),K155&lt;J155),"Check clock order: receipt precedes arrival",""))))</f>
        <v/>
      </c>
      <c r="P155" s="9"/>
      <c r="Q155" s="9"/>
      <c r="R155" s="9"/>
      <c r="S155" s="9"/>
      <c r="T155" s="9"/>
      <c r="U155" s="9"/>
      <c r="V155" s="9"/>
    </row>
    <row r="156" spans="1:22" ht="32" customHeight="1">
      <c r="A156" s="1" t="s">
        <v>441</v>
      </c>
      <c r="B156" s="9"/>
      <c r="C156" s="9"/>
      <c r="D156" s="9"/>
      <c r="E156" s="9"/>
      <c r="F156" s="9"/>
      <c r="G156" s="9"/>
      <c r="H156" s="9"/>
      <c r="I156" s="11"/>
      <c r="J156" s="11"/>
      <c r="K156" s="11"/>
      <c r="L156" s="12">
        <f>IF(AND(ISNUMBER(I156),ISNUMBER(J156),J156&gt;=I156),(J156-I156)*1440,"")</f>
        <v/>
      </c>
      <c r="M156" s="12">
        <f>IF(AND(ISNUMBER(I156),ISNUMBER(K156),K156&gt;=I156),(K156-I156)*1440,"")</f>
        <v/>
      </c>
      <c r="N156" s="9" t="s">
        <v>24</v>
      </c>
      <c r="O156" s="1">
        <f>IF(N156="Not Run","",IF(AND(OR(N156="Delivered",N156="Received; receipt pending"),NOT(ISNUMBER(L156))),"Enter valid send and arrival timestamps",IF(AND(N156="Delivered",NOT(ISNUMBER(M156))),"Enter valid sender Delivered timestamp",IF(AND(ISNUMBER(J156),ISNUMBER(K156),K156&lt;J156),"Check clock order: receipt precedes arrival",""))))</f>
        <v/>
      </c>
      <c r="P156" s="9"/>
      <c r="Q156" s="9"/>
      <c r="R156" s="9"/>
      <c r="S156" s="9"/>
      <c r="T156" s="9"/>
      <c r="U156" s="9"/>
      <c r="V156" s="9"/>
    </row>
    <row r="157" spans="1:22" ht="32" customHeight="1">
      <c r="A157" s="1" t="s">
        <v>442</v>
      </c>
      <c r="B157" s="9"/>
      <c r="C157" s="9"/>
      <c r="D157" s="9"/>
      <c r="E157" s="9"/>
      <c r="F157" s="9"/>
      <c r="G157" s="9"/>
      <c r="H157" s="9"/>
      <c r="I157" s="11"/>
      <c r="J157" s="11"/>
      <c r="K157" s="11"/>
      <c r="L157" s="12">
        <f>IF(AND(ISNUMBER(I157),ISNUMBER(J157),J157&gt;=I157),(J157-I157)*1440,"")</f>
        <v/>
      </c>
      <c r="M157" s="12">
        <f>IF(AND(ISNUMBER(I157),ISNUMBER(K157),K157&gt;=I157),(K157-I157)*1440,"")</f>
        <v/>
      </c>
      <c r="N157" s="9" t="s">
        <v>24</v>
      </c>
      <c r="O157" s="1">
        <f>IF(N157="Not Run","",IF(AND(OR(N157="Delivered",N157="Received; receipt pending"),NOT(ISNUMBER(L157))),"Enter valid send and arrival timestamps",IF(AND(N157="Delivered",NOT(ISNUMBER(M157))),"Enter valid sender Delivered timestamp",IF(AND(ISNUMBER(J157),ISNUMBER(K157),K157&lt;J157),"Check clock order: receipt precedes arrival",""))))</f>
        <v/>
      </c>
      <c r="P157" s="9"/>
      <c r="Q157" s="9"/>
      <c r="R157" s="9"/>
      <c r="S157" s="9"/>
      <c r="T157" s="9"/>
      <c r="U157" s="9"/>
      <c r="V157" s="9"/>
    </row>
    <row r="158" spans="1:22" ht="32" customHeight="1">
      <c r="A158" s="1" t="s">
        <v>443</v>
      </c>
      <c r="B158" s="9"/>
      <c r="C158" s="9"/>
      <c r="D158" s="9"/>
      <c r="E158" s="9"/>
      <c r="F158" s="9"/>
      <c r="G158" s="9"/>
      <c r="H158" s="9"/>
      <c r="I158" s="11"/>
      <c r="J158" s="11"/>
      <c r="K158" s="11"/>
      <c r="L158" s="12">
        <f>IF(AND(ISNUMBER(I158),ISNUMBER(J158),J158&gt;=I158),(J158-I158)*1440,"")</f>
        <v/>
      </c>
      <c r="M158" s="12">
        <f>IF(AND(ISNUMBER(I158),ISNUMBER(K158),K158&gt;=I158),(K158-I158)*1440,"")</f>
        <v/>
      </c>
      <c r="N158" s="9" t="s">
        <v>24</v>
      </c>
      <c r="O158" s="1">
        <f>IF(N158="Not Run","",IF(AND(OR(N158="Delivered",N158="Received; receipt pending"),NOT(ISNUMBER(L158))),"Enter valid send and arrival timestamps",IF(AND(N158="Delivered",NOT(ISNUMBER(M158))),"Enter valid sender Delivered timestamp",IF(AND(ISNUMBER(J158),ISNUMBER(K158),K158&lt;J158),"Check clock order: receipt precedes arrival",""))))</f>
        <v/>
      </c>
      <c r="P158" s="9"/>
      <c r="Q158" s="9"/>
      <c r="R158" s="9"/>
      <c r="S158" s="9"/>
      <c r="T158" s="9"/>
      <c r="U158" s="9"/>
      <c r="V158" s="9"/>
    </row>
    <row r="159" spans="1:22" ht="32" customHeight="1">
      <c r="A159" s="1" t="s">
        <v>444</v>
      </c>
      <c r="B159" s="9"/>
      <c r="C159" s="9"/>
      <c r="D159" s="9"/>
      <c r="E159" s="9"/>
      <c r="F159" s="9"/>
      <c r="G159" s="9"/>
      <c r="H159" s="9"/>
      <c r="I159" s="11"/>
      <c r="J159" s="11"/>
      <c r="K159" s="11"/>
      <c r="L159" s="12">
        <f>IF(AND(ISNUMBER(I159),ISNUMBER(J159),J159&gt;=I159),(J159-I159)*1440,"")</f>
        <v/>
      </c>
      <c r="M159" s="12">
        <f>IF(AND(ISNUMBER(I159),ISNUMBER(K159),K159&gt;=I159),(K159-I159)*1440,"")</f>
        <v/>
      </c>
      <c r="N159" s="9" t="s">
        <v>24</v>
      </c>
      <c r="O159" s="1">
        <f>IF(N159="Not Run","",IF(AND(OR(N159="Delivered",N159="Received; receipt pending"),NOT(ISNUMBER(L159))),"Enter valid send and arrival timestamps",IF(AND(N159="Delivered",NOT(ISNUMBER(M159))),"Enter valid sender Delivered timestamp",IF(AND(ISNUMBER(J159),ISNUMBER(K159),K159&lt;J159),"Check clock order: receipt precedes arrival",""))))</f>
        <v/>
      </c>
      <c r="P159" s="9"/>
      <c r="Q159" s="9"/>
      <c r="R159" s="9"/>
      <c r="S159" s="9"/>
      <c r="T159" s="9"/>
      <c r="U159" s="9"/>
      <c r="V159" s="9"/>
    </row>
    <row r="160" spans="1:22" ht="32" customHeight="1">
      <c r="A160" s="1" t="s">
        <v>445</v>
      </c>
      <c r="B160" s="9"/>
      <c r="C160" s="9"/>
      <c r="D160" s="9"/>
      <c r="E160" s="9"/>
      <c r="F160" s="9"/>
      <c r="G160" s="9"/>
      <c r="H160" s="9"/>
      <c r="I160" s="11"/>
      <c r="J160" s="11"/>
      <c r="K160" s="11"/>
      <c r="L160" s="12">
        <f>IF(AND(ISNUMBER(I160),ISNUMBER(J160),J160&gt;=I160),(J160-I160)*1440,"")</f>
        <v/>
      </c>
      <c r="M160" s="12">
        <f>IF(AND(ISNUMBER(I160),ISNUMBER(K160),K160&gt;=I160),(K160-I160)*1440,"")</f>
        <v/>
      </c>
      <c r="N160" s="9" t="s">
        <v>24</v>
      </c>
      <c r="O160" s="1">
        <f>IF(N160="Not Run","",IF(AND(OR(N160="Delivered",N160="Received; receipt pending"),NOT(ISNUMBER(L160))),"Enter valid send and arrival timestamps",IF(AND(N160="Delivered",NOT(ISNUMBER(M160))),"Enter valid sender Delivered timestamp",IF(AND(ISNUMBER(J160),ISNUMBER(K160),K160&lt;J160),"Check clock order: receipt precedes arrival",""))))</f>
        <v/>
      </c>
      <c r="P160" s="9"/>
      <c r="Q160" s="9"/>
      <c r="R160" s="9"/>
      <c r="S160" s="9"/>
      <c r="T160" s="9"/>
      <c r="U160" s="9"/>
      <c r="V160" s="9"/>
    </row>
    <row r="161" spans="1:22" ht="32" customHeight="1">
      <c r="A161" s="1" t="s">
        <v>446</v>
      </c>
      <c r="B161" s="9"/>
      <c r="C161" s="9"/>
      <c r="D161" s="9"/>
      <c r="E161" s="9"/>
      <c r="F161" s="9"/>
      <c r="G161" s="9"/>
      <c r="H161" s="9"/>
      <c r="I161" s="11"/>
      <c r="J161" s="11"/>
      <c r="K161" s="11"/>
      <c r="L161" s="12">
        <f>IF(AND(ISNUMBER(I161),ISNUMBER(J161),J161&gt;=I161),(J161-I161)*1440,"")</f>
        <v/>
      </c>
      <c r="M161" s="12">
        <f>IF(AND(ISNUMBER(I161),ISNUMBER(K161),K161&gt;=I161),(K161-I161)*1440,"")</f>
        <v/>
      </c>
      <c r="N161" s="9" t="s">
        <v>24</v>
      </c>
      <c r="O161" s="1">
        <f>IF(N161="Not Run","",IF(AND(OR(N161="Delivered",N161="Received; receipt pending"),NOT(ISNUMBER(L161))),"Enter valid send and arrival timestamps",IF(AND(N161="Delivered",NOT(ISNUMBER(M161))),"Enter valid sender Delivered timestamp",IF(AND(ISNUMBER(J161),ISNUMBER(K161),K161&lt;J161),"Check clock order: receipt precedes arrival",""))))</f>
        <v/>
      </c>
      <c r="P161" s="9"/>
      <c r="Q161" s="9"/>
      <c r="R161" s="9"/>
      <c r="S161" s="9"/>
      <c r="T161" s="9"/>
      <c r="U161" s="9"/>
      <c r="V161" s="9"/>
    </row>
    <row r="162" spans="1:22" ht="32" customHeight="1">
      <c r="A162" s="1" t="s">
        <v>447</v>
      </c>
      <c r="B162" s="9"/>
      <c r="C162" s="9"/>
      <c r="D162" s="9"/>
      <c r="E162" s="9"/>
      <c r="F162" s="9"/>
      <c r="G162" s="9"/>
      <c r="H162" s="9"/>
      <c r="I162" s="11"/>
      <c r="J162" s="11"/>
      <c r="K162" s="11"/>
      <c r="L162" s="12">
        <f>IF(AND(ISNUMBER(I162),ISNUMBER(J162),J162&gt;=I162),(J162-I162)*1440,"")</f>
        <v/>
      </c>
      <c r="M162" s="12">
        <f>IF(AND(ISNUMBER(I162),ISNUMBER(K162),K162&gt;=I162),(K162-I162)*1440,"")</f>
        <v/>
      </c>
      <c r="N162" s="9" t="s">
        <v>24</v>
      </c>
      <c r="O162" s="1">
        <f>IF(N162="Not Run","",IF(AND(OR(N162="Delivered",N162="Received; receipt pending"),NOT(ISNUMBER(L162))),"Enter valid send and arrival timestamps",IF(AND(N162="Delivered",NOT(ISNUMBER(M162))),"Enter valid sender Delivered timestamp",IF(AND(ISNUMBER(J162),ISNUMBER(K162),K162&lt;J162),"Check clock order: receipt precedes arrival",""))))</f>
        <v/>
      </c>
      <c r="P162" s="9"/>
      <c r="Q162" s="9"/>
      <c r="R162" s="9"/>
      <c r="S162" s="9"/>
      <c r="T162" s="9"/>
      <c r="U162" s="9"/>
      <c r="V162" s="9"/>
    </row>
    <row r="163" spans="1:22" ht="32" customHeight="1">
      <c r="A163" s="1" t="s">
        <v>448</v>
      </c>
      <c r="B163" s="9"/>
      <c r="C163" s="9"/>
      <c r="D163" s="9"/>
      <c r="E163" s="9"/>
      <c r="F163" s="9"/>
      <c r="G163" s="9"/>
      <c r="H163" s="9"/>
      <c r="I163" s="11"/>
      <c r="J163" s="11"/>
      <c r="K163" s="11"/>
      <c r="L163" s="12">
        <f>IF(AND(ISNUMBER(I163),ISNUMBER(J163),J163&gt;=I163),(J163-I163)*1440,"")</f>
        <v/>
      </c>
      <c r="M163" s="12">
        <f>IF(AND(ISNUMBER(I163),ISNUMBER(K163),K163&gt;=I163),(K163-I163)*1440,"")</f>
        <v/>
      </c>
      <c r="N163" s="9" t="s">
        <v>24</v>
      </c>
      <c r="O163" s="1">
        <f>IF(N163="Not Run","",IF(AND(OR(N163="Delivered",N163="Received; receipt pending"),NOT(ISNUMBER(L163))),"Enter valid send and arrival timestamps",IF(AND(N163="Delivered",NOT(ISNUMBER(M163))),"Enter valid sender Delivered timestamp",IF(AND(ISNUMBER(J163),ISNUMBER(K163),K163&lt;J163),"Check clock order: receipt precedes arrival",""))))</f>
        <v/>
      </c>
      <c r="P163" s="9"/>
      <c r="Q163" s="9"/>
      <c r="R163" s="9"/>
      <c r="S163" s="9"/>
      <c r="T163" s="9"/>
      <c r="U163" s="9"/>
      <c r="V163" s="9"/>
    </row>
    <row r="164" spans="1:22" ht="32" customHeight="1">
      <c r="A164" s="1" t="s">
        <v>449</v>
      </c>
      <c r="B164" s="9"/>
      <c r="C164" s="9"/>
      <c r="D164" s="9"/>
      <c r="E164" s="9"/>
      <c r="F164" s="9"/>
      <c r="G164" s="9"/>
      <c r="H164" s="9"/>
      <c r="I164" s="11"/>
      <c r="J164" s="11"/>
      <c r="K164" s="11"/>
      <c r="L164" s="12">
        <f>IF(AND(ISNUMBER(I164),ISNUMBER(J164),J164&gt;=I164),(J164-I164)*1440,"")</f>
        <v/>
      </c>
      <c r="M164" s="12">
        <f>IF(AND(ISNUMBER(I164),ISNUMBER(K164),K164&gt;=I164),(K164-I164)*1440,"")</f>
        <v/>
      </c>
      <c r="N164" s="9" t="s">
        <v>24</v>
      </c>
      <c r="O164" s="1">
        <f>IF(N164="Not Run","",IF(AND(OR(N164="Delivered",N164="Received; receipt pending"),NOT(ISNUMBER(L164))),"Enter valid send and arrival timestamps",IF(AND(N164="Delivered",NOT(ISNUMBER(M164))),"Enter valid sender Delivered timestamp",IF(AND(ISNUMBER(J164),ISNUMBER(K164),K164&lt;J164),"Check clock order: receipt precedes arrival",""))))</f>
        <v/>
      </c>
      <c r="P164" s="9"/>
      <c r="Q164" s="9"/>
      <c r="R164" s="9"/>
      <c r="S164" s="9"/>
      <c r="T164" s="9"/>
      <c r="U164" s="9"/>
      <c r="V164" s="9"/>
    </row>
    <row r="165" spans="1:22" ht="32" customHeight="1">
      <c r="A165" s="1" t="s">
        <v>450</v>
      </c>
      <c r="B165" s="9"/>
      <c r="C165" s="9"/>
      <c r="D165" s="9"/>
      <c r="E165" s="9"/>
      <c r="F165" s="9"/>
      <c r="G165" s="9"/>
      <c r="H165" s="9"/>
      <c r="I165" s="11"/>
      <c r="J165" s="11"/>
      <c r="K165" s="11"/>
      <c r="L165" s="12">
        <f>IF(AND(ISNUMBER(I165),ISNUMBER(J165),J165&gt;=I165),(J165-I165)*1440,"")</f>
        <v/>
      </c>
      <c r="M165" s="12">
        <f>IF(AND(ISNUMBER(I165),ISNUMBER(K165),K165&gt;=I165),(K165-I165)*1440,"")</f>
        <v/>
      </c>
      <c r="N165" s="9" t="s">
        <v>24</v>
      </c>
      <c r="O165" s="1">
        <f>IF(N165="Not Run","",IF(AND(OR(N165="Delivered",N165="Received; receipt pending"),NOT(ISNUMBER(L165))),"Enter valid send and arrival timestamps",IF(AND(N165="Delivered",NOT(ISNUMBER(M165))),"Enter valid sender Delivered timestamp",IF(AND(ISNUMBER(J165),ISNUMBER(K165),K165&lt;J165),"Check clock order: receipt precedes arrival",""))))</f>
        <v/>
      </c>
      <c r="P165" s="9"/>
      <c r="Q165" s="9"/>
      <c r="R165" s="9"/>
      <c r="S165" s="9"/>
      <c r="T165" s="9"/>
      <c r="U165" s="9"/>
      <c r="V165" s="9"/>
    </row>
    <row r="166" spans="1:22" ht="32" customHeight="1">
      <c r="A166" s="1" t="s">
        <v>451</v>
      </c>
      <c r="B166" s="9"/>
      <c r="C166" s="9"/>
      <c r="D166" s="9"/>
      <c r="E166" s="9"/>
      <c r="F166" s="9"/>
      <c r="G166" s="9"/>
      <c r="H166" s="9"/>
      <c r="I166" s="11"/>
      <c r="J166" s="11"/>
      <c r="K166" s="11"/>
      <c r="L166" s="12">
        <f>IF(AND(ISNUMBER(I166),ISNUMBER(J166),J166&gt;=I166),(J166-I166)*1440,"")</f>
        <v/>
      </c>
      <c r="M166" s="12">
        <f>IF(AND(ISNUMBER(I166),ISNUMBER(K166),K166&gt;=I166),(K166-I166)*1440,"")</f>
        <v/>
      </c>
      <c r="N166" s="9" t="s">
        <v>24</v>
      </c>
      <c r="O166" s="1">
        <f>IF(N166="Not Run","",IF(AND(OR(N166="Delivered",N166="Received; receipt pending"),NOT(ISNUMBER(L166))),"Enter valid send and arrival timestamps",IF(AND(N166="Delivered",NOT(ISNUMBER(M166))),"Enter valid sender Delivered timestamp",IF(AND(ISNUMBER(J166),ISNUMBER(K166),K166&lt;J166),"Check clock order: receipt precedes arrival",""))))</f>
        <v/>
      </c>
      <c r="P166" s="9"/>
      <c r="Q166" s="9"/>
      <c r="R166" s="9"/>
      <c r="S166" s="9"/>
      <c r="T166" s="9"/>
      <c r="U166" s="9"/>
      <c r="V166" s="9"/>
    </row>
    <row r="167" spans="1:22" ht="32" customHeight="1">
      <c r="A167" s="1" t="s">
        <v>452</v>
      </c>
      <c r="B167" s="9"/>
      <c r="C167" s="9"/>
      <c r="D167" s="9"/>
      <c r="E167" s="9"/>
      <c r="F167" s="9"/>
      <c r="G167" s="9"/>
      <c r="H167" s="9"/>
      <c r="I167" s="11"/>
      <c r="J167" s="11"/>
      <c r="K167" s="11"/>
      <c r="L167" s="12">
        <f>IF(AND(ISNUMBER(I167),ISNUMBER(J167),J167&gt;=I167),(J167-I167)*1440,"")</f>
        <v/>
      </c>
      <c r="M167" s="12">
        <f>IF(AND(ISNUMBER(I167),ISNUMBER(K167),K167&gt;=I167),(K167-I167)*1440,"")</f>
        <v/>
      </c>
      <c r="N167" s="9" t="s">
        <v>24</v>
      </c>
      <c r="O167" s="1">
        <f>IF(N167="Not Run","",IF(AND(OR(N167="Delivered",N167="Received; receipt pending"),NOT(ISNUMBER(L167))),"Enter valid send and arrival timestamps",IF(AND(N167="Delivered",NOT(ISNUMBER(M167))),"Enter valid sender Delivered timestamp",IF(AND(ISNUMBER(J167),ISNUMBER(K167),K167&lt;J167),"Check clock order: receipt precedes arrival",""))))</f>
        <v/>
      </c>
      <c r="P167" s="9"/>
      <c r="Q167" s="9"/>
      <c r="R167" s="9"/>
      <c r="S167" s="9"/>
      <c r="T167" s="9"/>
      <c r="U167" s="9"/>
      <c r="V167" s="9"/>
    </row>
    <row r="168" spans="1:22" ht="32" customHeight="1">
      <c r="A168" s="1" t="s">
        <v>453</v>
      </c>
      <c r="B168" s="9"/>
      <c r="C168" s="9"/>
      <c r="D168" s="9"/>
      <c r="E168" s="9"/>
      <c r="F168" s="9"/>
      <c r="G168" s="9"/>
      <c r="H168" s="9"/>
      <c r="I168" s="11"/>
      <c r="J168" s="11"/>
      <c r="K168" s="11"/>
      <c r="L168" s="12">
        <f>IF(AND(ISNUMBER(I168),ISNUMBER(J168),J168&gt;=I168),(J168-I168)*1440,"")</f>
        <v/>
      </c>
      <c r="M168" s="12">
        <f>IF(AND(ISNUMBER(I168),ISNUMBER(K168),K168&gt;=I168),(K168-I168)*1440,"")</f>
        <v/>
      </c>
      <c r="N168" s="9" t="s">
        <v>24</v>
      </c>
      <c r="O168" s="1">
        <f>IF(N168="Not Run","",IF(AND(OR(N168="Delivered",N168="Received; receipt pending"),NOT(ISNUMBER(L168))),"Enter valid send and arrival timestamps",IF(AND(N168="Delivered",NOT(ISNUMBER(M168))),"Enter valid sender Delivered timestamp",IF(AND(ISNUMBER(J168),ISNUMBER(K168),K168&lt;J168),"Check clock order: receipt precedes arrival",""))))</f>
        <v/>
      </c>
      <c r="P168" s="9"/>
      <c r="Q168" s="9"/>
      <c r="R168" s="9"/>
      <c r="S168" s="9"/>
      <c r="T168" s="9"/>
      <c r="U168" s="9"/>
      <c r="V168" s="9"/>
    </row>
    <row r="169" spans="1:22" ht="32" customHeight="1">
      <c r="A169" s="1" t="s">
        <v>454</v>
      </c>
      <c r="B169" s="9"/>
      <c r="C169" s="9"/>
      <c r="D169" s="9"/>
      <c r="E169" s="9"/>
      <c r="F169" s="9"/>
      <c r="G169" s="9"/>
      <c r="H169" s="9"/>
      <c r="I169" s="11"/>
      <c r="J169" s="11"/>
      <c r="K169" s="11"/>
      <c r="L169" s="12">
        <f>IF(AND(ISNUMBER(I169),ISNUMBER(J169),J169&gt;=I169),(J169-I169)*1440,"")</f>
        <v/>
      </c>
      <c r="M169" s="12">
        <f>IF(AND(ISNUMBER(I169),ISNUMBER(K169),K169&gt;=I169),(K169-I169)*1440,"")</f>
        <v/>
      </c>
      <c r="N169" s="9" t="s">
        <v>24</v>
      </c>
      <c r="O169" s="1">
        <f>IF(N169="Not Run","",IF(AND(OR(N169="Delivered",N169="Received; receipt pending"),NOT(ISNUMBER(L169))),"Enter valid send and arrival timestamps",IF(AND(N169="Delivered",NOT(ISNUMBER(M169))),"Enter valid sender Delivered timestamp",IF(AND(ISNUMBER(J169),ISNUMBER(K169),K169&lt;J169),"Check clock order: receipt precedes arrival",""))))</f>
        <v/>
      </c>
      <c r="P169" s="9"/>
      <c r="Q169" s="9"/>
      <c r="R169" s="9"/>
      <c r="S169" s="9"/>
      <c r="T169" s="9"/>
      <c r="U169" s="9"/>
      <c r="V169" s="9"/>
    </row>
    <row r="170" spans="1:22" ht="32" customHeight="1">
      <c r="A170" s="1" t="s">
        <v>455</v>
      </c>
      <c r="B170" s="9"/>
      <c r="C170" s="9"/>
      <c r="D170" s="9"/>
      <c r="E170" s="9"/>
      <c r="F170" s="9"/>
      <c r="G170" s="9"/>
      <c r="H170" s="9"/>
      <c r="I170" s="11"/>
      <c r="J170" s="11"/>
      <c r="K170" s="11"/>
      <c r="L170" s="12">
        <f>IF(AND(ISNUMBER(I170),ISNUMBER(J170),J170&gt;=I170),(J170-I170)*1440,"")</f>
        <v/>
      </c>
      <c r="M170" s="12">
        <f>IF(AND(ISNUMBER(I170),ISNUMBER(K170),K170&gt;=I170),(K170-I170)*1440,"")</f>
        <v/>
      </c>
      <c r="N170" s="9" t="s">
        <v>24</v>
      </c>
      <c r="O170" s="1">
        <f>IF(N170="Not Run","",IF(AND(OR(N170="Delivered",N170="Received; receipt pending"),NOT(ISNUMBER(L170))),"Enter valid send and arrival timestamps",IF(AND(N170="Delivered",NOT(ISNUMBER(M170))),"Enter valid sender Delivered timestamp",IF(AND(ISNUMBER(J170),ISNUMBER(K170),K170&lt;J170),"Check clock order: receipt precedes arrival",""))))</f>
        <v/>
      </c>
      <c r="P170" s="9"/>
      <c r="Q170" s="9"/>
      <c r="R170" s="9"/>
      <c r="S170" s="9"/>
      <c r="T170" s="9"/>
      <c r="U170" s="9"/>
      <c r="V170" s="9"/>
    </row>
    <row r="171" spans="1:22" ht="32" customHeight="1">
      <c r="A171" s="1" t="s">
        <v>456</v>
      </c>
      <c r="B171" s="9"/>
      <c r="C171" s="9"/>
      <c r="D171" s="9"/>
      <c r="E171" s="9"/>
      <c r="F171" s="9"/>
      <c r="G171" s="9"/>
      <c r="H171" s="9"/>
      <c r="I171" s="11"/>
      <c r="J171" s="11"/>
      <c r="K171" s="11"/>
      <c r="L171" s="12">
        <f>IF(AND(ISNUMBER(I171),ISNUMBER(J171),J171&gt;=I171),(J171-I171)*1440,"")</f>
        <v/>
      </c>
      <c r="M171" s="12">
        <f>IF(AND(ISNUMBER(I171),ISNUMBER(K171),K171&gt;=I171),(K171-I171)*1440,"")</f>
        <v/>
      </c>
      <c r="N171" s="9" t="s">
        <v>24</v>
      </c>
      <c r="O171" s="1">
        <f>IF(N171="Not Run","",IF(AND(OR(N171="Delivered",N171="Received; receipt pending"),NOT(ISNUMBER(L171))),"Enter valid send and arrival timestamps",IF(AND(N171="Delivered",NOT(ISNUMBER(M171))),"Enter valid sender Delivered timestamp",IF(AND(ISNUMBER(J171),ISNUMBER(K171),K171&lt;J171),"Check clock order: receipt precedes arrival",""))))</f>
        <v/>
      </c>
      <c r="P171" s="9"/>
      <c r="Q171" s="9"/>
      <c r="R171" s="9"/>
      <c r="S171" s="9"/>
      <c r="T171" s="9"/>
      <c r="U171" s="9"/>
      <c r="V171" s="9"/>
    </row>
    <row r="172" spans="1:22" ht="32" customHeight="1">
      <c r="A172" s="1" t="s">
        <v>457</v>
      </c>
      <c r="B172" s="9"/>
      <c r="C172" s="9"/>
      <c r="D172" s="9"/>
      <c r="E172" s="9"/>
      <c r="F172" s="9"/>
      <c r="G172" s="9"/>
      <c r="H172" s="9"/>
      <c r="I172" s="11"/>
      <c r="J172" s="11"/>
      <c r="K172" s="11"/>
      <c r="L172" s="12">
        <f>IF(AND(ISNUMBER(I172),ISNUMBER(J172),J172&gt;=I172),(J172-I172)*1440,"")</f>
        <v/>
      </c>
      <c r="M172" s="12">
        <f>IF(AND(ISNUMBER(I172),ISNUMBER(K172),K172&gt;=I172),(K172-I172)*1440,"")</f>
        <v/>
      </c>
      <c r="N172" s="9" t="s">
        <v>24</v>
      </c>
      <c r="O172" s="1">
        <f>IF(N172="Not Run","",IF(AND(OR(N172="Delivered",N172="Received; receipt pending"),NOT(ISNUMBER(L172))),"Enter valid send and arrival timestamps",IF(AND(N172="Delivered",NOT(ISNUMBER(M172))),"Enter valid sender Delivered timestamp",IF(AND(ISNUMBER(J172),ISNUMBER(K172),K172&lt;J172),"Check clock order: receipt precedes arrival",""))))</f>
        <v/>
      </c>
      <c r="P172" s="9"/>
      <c r="Q172" s="9"/>
      <c r="R172" s="9"/>
      <c r="S172" s="9"/>
      <c r="T172" s="9"/>
      <c r="U172" s="9"/>
      <c r="V172" s="9"/>
    </row>
    <row r="173" spans="1:22" ht="32" customHeight="1">
      <c r="A173" s="1" t="s">
        <v>458</v>
      </c>
      <c r="B173" s="9"/>
      <c r="C173" s="9"/>
      <c r="D173" s="9"/>
      <c r="E173" s="9"/>
      <c r="F173" s="9"/>
      <c r="G173" s="9"/>
      <c r="H173" s="9"/>
      <c r="I173" s="11"/>
      <c r="J173" s="11"/>
      <c r="K173" s="11"/>
      <c r="L173" s="12">
        <f>IF(AND(ISNUMBER(I173),ISNUMBER(J173),J173&gt;=I173),(J173-I173)*1440,"")</f>
        <v/>
      </c>
      <c r="M173" s="12">
        <f>IF(AND(ISNUMBER(I173),ISNUMBER(K173),K173&gt;=I173),(K173-I173)*1440,"")</f>
        <v/>
      </c>
      <c r="N173" s="9" t="s">
        <v>24</v>
      </c>
      <c r="O173" s="1">
        <f>IF(N173="Not Run","",IF(AND(OR(N173="Delivered",N173="Received; receipt pending"),NOT(ISNUMBER(L173))),"Enter valid send and arrival timestamps",IF(AND(N173="Delivered",NOT(ISNUMBER(M173))),"Enter valid sender Delivered timestamp",IF(AND(ISNUMBER(J173),ISNUMBER(K173),K173&lt;J173),"Check clock order: receipt precedes arrival",""))))</f>
        <v/>
      </c>
      <c r="P173" s="9"/>
      <c r="Q173" s="9"/>
      <c r="R173" s="9"/>
      <c r="S173" s="9"/>
      <c r="T173" s="9"/>
      <c r="U173" s="9"/>
      <c r="V173" s="9"/>
    </row>
    <row r="174" spans="1:22" ht="32" customHeight="1">
      <c r="A174" s="1" t="s">
        <v>459</v>
      </c>
      <c r="B174" s="9"/>
      <c r="C174" s="9"/>
      <c r="D174" s="9"/>
      <c r="E174" s="9"/>
      <c r="F174" s="9"/>
      <c r="G174" s="9"/>
      <c r="H174" s="9"/>
      <c r="I174" s="11"/>
      <c r="J174" s="11"/>
      <c r="K174" s="11"/>
      <c r="L174" s="12">
        <f>IF(AND(ISNUMBER(I174),ISNUMBER(J174),J174&gt;=I174),(J174-I174)*1440,"")</f>
        <v/>
      </c>
      <c r="M174" s="12">
        <f>IF(AND(ISNUMBER(I174),ISNUMBER(K174),K174&gt;=I174),(K174-I174)*1440,"")</f>
        <v/>
      </c>
      <c r="N174" s="9" t="s">
        <v>24</v>
      </c>
      <c r="O174" s="1">
        <f>IF(N174="Not Run","",IF(AND(OR(N174="Delivered",N174="Received; receipt pending"),NOT(ISNUMBER(L174))),"Enter valid send and arrival timestamps",IF(AND(N174="Delivered",NOT(ISNUMBER(M174))),"Enter valid sender Delivered timestamp",IF(AND(ISNUMBER(J174),ISNUMBER(K174),K174&lt;J174),"Check clock order: receipt precedes arrival",""))))</f>
        <v/>
      </c>
      <c r="P174" s="9"/>
      <c r="Q174" s="9"/>
      <c r="R174" s="9"/>
      <c r="S174" s="9"/>
      <c r="T174" s="9"/>
      <c r="U174" s="9"/>
      <c r="V174" s="9"/>
    </row>
    <row r="175" spans="1:22" ht="32" customHeight="1">
      <c r="A175" s="1" t="s">
        <v>460</v>
      </c>
      <c r="B175" s="9"/>
      <c r="C175" s="9"/>
      <c r="D175" s="9"/>
      <c r="E175" s="9"/>
      <c r="F175" s="9"/>
      <c r="G175" s="9"/>
      <c r="H175" s="9"/>
      <c r="I175" s="11"/>
      <c r="J175" s="11"/>
      <c r="K175" s="11"/>
      <c r="L175" s="12">
        <f>IF(AND(ISNUMBER(I175),ISNUMBER(J175),J175&gt;=I175),(J175-I175)*1440,"")</f>
        <v/>
      </c>
      <c r="M175" s="12">
        <f>IF(AND(ISNUMBER(I175),ISNUMBER(K175),K175&gt;=I175),(K175-I175)*1440,"")</f>
        <v/>
      </c>
      <c r="N175" s="9" t="s">
        <v>24</v>
      </c>
      <c r="O175" s="1">
        <f>IF(N175="Not Run","",IF(AND(OR(N175="Delivered",N175="Received; receipt pending"),NOT(ISNUMBER(L175))),"Enter valid send and arrival timestamps",IF(AND(N175="Delivered",NOT(ISNUMBER(M175))),"Enter valid sender Delivered timestamp",IF(AND(ISNUMBER(J175),ISNUMBER(K175),K175&lt;J175),"Check clock order: receipt precedes arrival",""))))</f>
        <v/>
      </c>
      <c r="P175" s="9"/>
      <c r="Q175" s="9"/>
      <c r="R175" s="9"/>
      <c r="S175" s="9"/>
      <c r="T175" s="9"/>
      <c r="U175" s="9"/>
      <c r="V175" s="9"/>
    </row>
    <row r="176" spans="1:22" ht="32" customHeight="1">
      <c r="A176" s="1" t="s">
        <v>461</v>
      </c>
      <c r="B176" s="9"/>
      <c r="C176" s="9"/>
      <c r="D176" s="9"/>
      <c r="E176" s="9"/>
      <c r="F176" s="9"/>
      <c r="G176" s="9"/>
      <c r="H176" s="9"/>
      <c r="I176" s="11"/>
      <c r="J176" s="11"/>
      <c r="K176" s="11"/>
      <c r="L176" s="12">
        <f>IF(AND(ISNUMBER(I176),ISNUMBER(J176),J176&gt;=I176),(J176-I176)*1440,"")</f>
        <v/>
      </c>
      <c r="M176" s="12">
        <f>IF(AND(ISNUMBER(I176),ISNUMBER(K176),K176&gt;=I176),(K176-I176)*1440,"")</f>
        <v/>
      </c>
      <c r="N176" s="9" t="s">
        <v>24</v>
      </c>
      <c r="O176" s="1">
        <f>IF(N176="Not Run","",IF(AND(OR(N176="Delivered",N176="Received; receipt pending"),NOT(ISNUMBER(L176))),"Enter valid send and arrival timestamps",IF(AND(N176="Delivered",NOT(ISNUMBER(M176))),"Enter valid sender Delivered timestamp",IF(AND(ISNUMBER(J176),ISNUMBER(K176),K176&lt;J176),"Check clock order: receipt precedes arrival",""))))</f>
        <v/>
      </c>
      <c r="P176" s="9"/>
      <c r="Q176" s="9"/>
      <c r="R176" s="9"/>
      <c r="S176" s="9"/>
      <c r="T176" s="9"/>
      <c r="U176" s="9"/>
      <c r="V176" s="9"/>
    </row>
    <row r="177" spans="1:22" ht="32" customHeight="1">
      <c r="A177" s="1" t="s">
        <v>462</v>
      </c>
      <c r="B177" s="9"/>
      <c r="C177" s="9"/>
      <c r="D177" s="9"/>
      <c r="E177" s="9"/>
      <c r="F177" s="9"/>
      <c r="G177" s="9"/>
      <c r="H177" s="9"/>
      <c r="I177" s="11"/>
      <c r="J177" s="11"/>
      <c r="K177" s="11"/>
      <c r="L177" s="12">
        <f>IF(AND(ISNUMBER(I177),ISNUMBER(J177),J177&gt;=I177),(J177-I177)*1440,"")</f>
        <v/>
      </c>
      <c r="M177" s="12">
        <f>IF(AND(ISNUMBER(I177),ISNUMBER(K177),K177&gt;=I177),(K177-I177)*1440,"")</f>
        <v/>
      </c>
      <c r="N177" s="9" t="s">
        <v>24</v>
      </c>
      <c r="O177" s="1">
        <f>IF(N177="Not Run","",IF(AND(OR(N177="Delivered",N177="Received; receipt pending"),NOT(ISNUMBER(L177))),"Enter valid send and arrival timestamps",IF(AND(N177="Delivered",NOT(ISNUMBER(M177))),"Enter valid sender Delivered timestamp",IF(AND(ISNUMBER(J177),ISNUMBER(K177),K177&lt;J177),"Check clock order: receipt precedes arrival",""))))</f>
        <v/>
      </c>
      <c r="P177" s="9"/>
      <c r="Q177" s="9"/>
      <c r="R177" s="9"/>
      <c r="S177" s="9"/>
      <c r="T177" s="9"/>
      <c r="U177" s="9"/>
      <c r="V177" s="9"/>
    </row>
    <row r="178" spans="1:22" ht="32" customHeight="1">
      <c r="A178" s="1" t="s">
        <v>463</v>
      </c>
      <c r="B178" s="9"/>
      <c r="C178" s="9"/>
      <c r="D178" s="9"/>
      <c r="E178" s="9"/>
      <c r="F178" s="9"/>
      <c r="G178" s="9"/>
      <c r="H178" s="9"/>
      <c r="I178" s="11"/>
      <c r="J178" s="11"/>
      <c r="K178" s="11"/>
      <c r="L178" s="12">
        <f>IF(AND(ISNUMBER(I178),ISNUMBER(J178),J178&gt;=I178),(J178-I178)*1440,"")</f>
        <v/>
      </c>
      <c r="M178" s="12">
        <f>IF(AND(ISNUMBER(I178),ISNUMBER(K178),K178&gt;=I178),(K178-I178)*1440,"")</f>
        <v/>
      </c>
      <c r="N178" s="9" t="s">
        <v>24</v>
      </c>
      <c r="O178" s="1">
        <f>IF(N178="Not Run","",IF(AND(OR(N178="Delivered",N178="Received; receipt pending"),NOT(ISNUMBER(L178))),"Enter valid send and arrival timestamps",IF(AND(N178="Delivered",NOT(ISNUMBER(M178))),"Enter valid sender Delivered timestamp",IF(AND(ISNUMBER(J178),ISNUMBER(K178),K178&lt;J178),"Check clock order: receipt precedes arrival",""))))</f>
        <v/>
      </c>
      <c r="P178" s="9"/>
      <c r="Q178" s="9"/>
      <c r="R178" s="9"/>
      <c r="S178" s="9"/>
      <c r="T178" s="9"/>
      <c r="U178" s="9"/>
      <c r="V178" s="9"/>
    </row>
    <row r="179" spans="1:22" ht="32" customHeight="1">
      <c r="A179" s="1" t="s">
        <v>464</v>
      </c>
      <c r="B179" s="9"/>
      <c r="C179" s="9"/>
      <c r="D179" s="9"/>
      <c r="E179" s="9"/>
      <c r="F179" s="9"/>
      <c r="G179" s="9"/>
      <c r="H179" s="9"/>
      <c r="I179" s="11"/>
      <c r="J179" s="11"/>
      <c r="K179" s="11"/>
      <c r="L179" s="12">
        <f>IF(AND(ISNUMBER(I179),ISNUMBER(J179),J179&gt;=I179),(J179-I179)*1440,"")</f>
        <v/>
      </c>
      <c r="M179" s="12">
        <f>IF(AND(ISNUMBER(I179),ISNUMBER(K179),K179&gt;=I179),(K179-I179)*1440,"")</f>
        <v/>
      </c>
      <c r="N179" s="9" t="s">
        <v>24</v>
      </c>
      <c r="O179" s="1">
        <f>IF(N179="Not Run","",IF(AND(OR(N179="Delivered",N179="Received; receipt pending"),NOT(ISNUMBER(L179))),"Enter valid send and arrival timestamps",IF(AND(N179="Delivered",NOT(ISNUMBER(M179))),"Enter valid sender Delivered timestamp",IF(AND(ISNUMBER(J179),ISNUMBER(K179),K179&lt;J179),"Check clock order: receipt precedes arrival",""))))</f>
        <v/>
      </c>
      <c r="P179" s="9"/>
      <c r="Q179" s="9"/>
      <c r="R179" s="9"/>
      <c r="S179" s="9"/>
      <c r="T179" s="9"/>
      <c r="U179" s="9"/>
      <c r="V179" s="9"/>
    </row>
    <row r="180" spans="1:22" ht="32" customHeight="1">
      <c r="A180" s="1" t="s">
        <v>465</v>
      </c>
      <c r="B180" s="9"/>
      <c r="C180" s="9"/>
      <c r="D180" s="9"/>
      <c r="E180" s="9"/>
      <c r="F180" s="9"/>
      <c r="G180" s="9"/>
      <c r="H180" s="9"/>
      <c r="I180" s="11"/>
      <c r="J180" s="11"/>
      <c r="K180" s="11"/>
      <c r="L180" s="12">
        <f>IF(AND(ISNUMBER(I180),ISNUMBER(J180),J180&gt;=I180),(J180-I180)*1440,"")</f>
        <v/>
      </c>
      <c r="M180" s="12">
        <f>IF(AND(ISNUMBER(I180),ISNUMBER(K180),K180&gt;=I180),(K180-I180)*1440,"")</f>
        <v/>
      </c>
      <c r="N180" s="9" t="s">
        <v>24</v>
      </c>
      <c r="O180" s="1">
        <f>IF(N180="Not Run","",IF(AND(OR(N180="Delivered",N180="Received; receipt pending"),NOT(ISNUMBER(L180))),"Enter valid send and arrival timestamps",IF(AND(N180="Delivered",NOT(ISNUMBER(M180))),"Enter valid sender Delivered timestamp",IF(AND(ISNUMBER(J180),ISNUMBER(K180),K180&lt;J180),"Check clock order: receipt precedes arrival",""))))</f>
        <v/>
      </c>
      <c r="P180" s="9"/>
      <c r="Q180" s="9"/>
      <c r="R180" s="9"/>
      <c r="S180" s="9"/>
      <c r="T180" s="9"/>
      <c r="U180" s="9"/>
      <c r="V180" s="9"/>
    </row>
    <row r="181" spans="1:22" ht="32" customHeight="1">
      <c r="A181" s="1" t="s">
        <v>466</v>
      </c>
      <c r="B181" s="9"/>
      <c r="C181" s="9"/>
      <c r="D181" s="9"/>
      <c r="E181" s="9"/>
      <c r="F181" s="9"/>
      <c r="G181" s="9"/>
      <c r="H181" s="9"/>
      <c r="I181" s="11"/>
      <c r="J181" s="11"/>
      <c r="K181" s="11"/>
      <c r="L181" s="12">
        <f>IF(AND(ISNUMBER(I181),ISNUMBER(J181),J181&gt;=I181),(J181-I181)*1440,"")</f>
        <v/>
      </c>
      <c r="M181" s="12">
        <f>IF(AND(ISNUMBER(I181),ISNUMBER(K181),K181&gt;=I181),(K181-I181)*1440,"")</f>
        <v/>
      </c>
      <c r="N181" s="9" t="s">
        <v>24</v>
      </c>
      <c r="O181" s="1">
        <f>IF(N181="Not Run","",IF(AND(OR(N181="Delivered",N181="Received; receipt pending"),NOT(ISNUMBER(L181))),"Enter valid send and arrival timestamps",IF(AND(N181="Delivered",NOT(ISNUMBER(M181))),"Enter valid sender Delivered timestamp",IF(AND(ISNUMBER(J181),ISNUMBER(K181),K181&lt;J181),"Check clock order: receipt precedes arrival",""))))</f>
        <v/>
      </c>
      <c r="P181" s="9"/>
      <c r="Q181" s="9"/>
      <c r="R181" s="9"/>
      <c r="S181" s="9"/>
      <c r="T181" s="9"/>
      <c r="U181" s="9"/>
      <c r="V181" s="9"/>
    </row>
    <row r="182" spans="1:22" ht="32" customHeight="1">
      <c r="A182" s="1" t="s">
        <v>467</v>
      </c>
      <c r="B182" s="9"/>
      <c r="C182" s="9"/>
      <c r="D182" s="9"/>
      <c r="E182" s="9"/>
      <c r="F182" s="9"/>
      <c r="G182" s="9"/>
      <c r="H182" s="9"/>
      <c r="I182" s="11"/>
      <c r="J182" s="11"/>
      <c r="K182" s="11"/>
      <c r="L182" s="12">
        <f>IF(AND(ISNUMBER(I182),ISNUMBER(J182),J182&gt;=I182),(J182-I182)*1440,"")</f>
        <v/>
      </c>
      <c r="M182" s="12">
        <f>IF(AND(ISNUMBER(I182),ISNUMBER(K182),K182&gt;=I182),(K182-I182)*1440,"")</f>
        <v/>
      </c>
      <c r="N182" s="9" t="s">
        <v>24</v>
      </c>
      <c r="O182" s="1">
        <f>IF(N182="Not Run","",IF(AND(OR(N182="Delivered",N182="Received; receipt pending"),NOT(ISNUMBER(L182))),"Enter valid send and arrival timestamps",IF(AND(N182="Delivered",NOT(ISNUMBER(M182))),"Enter valid sender Delivered timestamp",IF(AND(ISNUMBER(J182),ISNUMBER(K182),K182&lt;J182),"Check clock order: receipt precedes arrival",""))))</f>
        <v/>
      </c>
      <c r="P182" s="9"/>
      <c r="Q182" s="9"/>
      <c r="R182" s="9"/>
      <c r="S182" s="9"/>
      <c r="T182" s="9"/>
      <c r="U182" s="9"/>
      <c r="V182" s="9"/>
    </row>
    <row r="183" spans="1:22" ht="32" customHeight="1">
      <c r="A183" s="1" t="s">
        <v>468</v>
      </c>
      <c r="B183" s="9"/>
      <c r="C183" s="9"/>
      <c r="D183" s="9"/>
      <c r="E183" s="9"/>
      <c r="F183" s="9"/>
      <c r="G183" s="9"/>
      <c r="H183" s="9"/>
      <c r="I183" s="11"/>
      <c r="J183" s="11"/>
      <c r="K183" s="11"/>
      <c r="L183" s="12">
        <f>IF(AND(ISNUMBER(I183),ISNUMBER(J183),J183&gt;=I183),(J183-I183)*1440,"")</f>
        <v/>
      </c>
      <c r="M183" s="12">
        <f>IF(AND(ISNUMBER(I183),ISNUMBER(K183),K183&gt;=I183),(K183-I183)*1440,"")</f>
        <v/>
      </c>
      <c r="N183" s="9" t="s">
        <v>24</v>
      </c>
      <c r="O183" s="1">
        <f>IF(N183="Not Run","",IF(AND(OR(N183="Delivered",N183="Received; receipt pending"),NOT(ISNUMBER(L183))),"Enter valid send and arrival timestamps",IF(AND(N183="Delivered",NOT(ISNUMBER(M183))),"Enter valid sender Delivered timestamp",IF(AND(ISNUMBER(J183),ISNUMBER(K183),K183&lt;J183),"Check clock order: receipt precedes arrival",""))))</f>
        <v/>
      </c>
      <c r="P183" s="9"/>
      <c r="Q183" s="9"/>
      <c r="R183" s="9"/>
      <c r="S183" s="9"/>
      <c r="T183" s="9"/>
      <c r="U183" s="9"/>
      <c r="V183" s="9"/>
    </row>
    <row r="184" spans="1:22" ht="32" customHeight="1">
      <c r="A184" s="1" t="s">
        <v>469</v>
      </c>
      <c r="B184" s="9"/>
      <c r="C184" s="9"/>
      <c r="D184" s="9"/>
      <c r="E184" s="9"/>
      <c r="F184" s="9"/>
      <c r="G184" s="9"/>
      <c r="H184" s="9"/>
      <c r="I184" s="11"/>
      <c r="J184" s="11"/>
      <c r="K184" s="11"/>
      <c r="L184" s="12">
        <f>IF(AND(ISNUMBER(I184),ISNUMBER(J184),J184&gt;=I184),(J184-I184)*1440,"")</f>
        <v/>
      </c>
      <c r="M184" s="12">
        <f>IF(AND(ISNUMBER(I184),ISNUMBER(K184),K184&gt;=I184),(K184-I184)*1440,"")</f>
        <v/>
      </c>
      <c r="N184" s="9" t="s">
        <v>24</v>
      </c>
      <c r="O184" s="1">
        <f>IF(N184="Not Run","",IF(AND(OR(N184="Delivered",N184="Received; receipt pending"),NOT(ISNUMBER(L184))),"Enter valid send and arrival timestamps",IF(AND(N184="Delivered",NOT(ISNUMBER(M184))),"Enter valid sender Delivered timestamp",IF(AND(ISNUMBER(J184),ISNUMBER(K184),K184&lt;J184),"Check clock order: receipt precedes arrival",""))))</f>
        <v/>
      </c>
      <c r="P184" s="9"/>
      <c r="Q184" s="9"/>
      <c r="R184" s="9"/>
      <c r="S184" s="9"/>
      <c r="T184" s="9"/>
      <c r="U184" s="9"/>
      <c r="V184" s="9"/>
    </row>
    <row r="185" spans="1:22" ht="32" customHeight="1">
      <c r="A185" s="1" t="s">
        <v>470</v>
      </c>
      <c r="B185" s="9"/>
      <c r="C185" s="9"/>
      <c r="D185" s="9"/>
      <c r="E185" s="9"/>
      <c r="F185" s="9"/>
      <c r="G185" s="9"/>
      <c r="H185" s="9"/>
      <c r="I185" s="11"/>
      <c r="J185" s="11"/>
      <c r="K185" s="11"/>
      <c r="L185" s="12">
        <f>IF(AND(ISNUMBER(I185),ISNUMBER(J185),J185&gt;=I185),(J185-I185)*1440,"")</f>
        <v/>
      </c>
      <c r="M185" s="12">
        <f>IF(AND(ISNUMBER(I185),ISNUMBER(K185),K185&gt;=I185),(K185-I185)*1440,"")</f>
        <v/>
      </c>
      <c r="N185" s="9" t="s">
        <v>24</v>
      </c>
      <c r="O185" s="1">
        <f>IF(N185="Not Run","",IF(AND(OR(N185="Delivered",N185="Received; receipt pending"),NOT(ISNUMBER(L185))),"Enter valid send and arrival timestamps",IF(AND(N185="Delivered",NOT(ISNUMBER(M185))),"Enter valid sender Delivered timestamp",IF(AND(ISNUMBER(J185),ISNUMBER(K185),K185&lt;J185),"Check clock order: receipt precedes arrival",""))))</f>
        <v/>
      </c>
      <c r="P185" s="9"/>
      <c r="Q185" s="9"/>
      <c r="R185" s="9"/>
      <c r="S185" s="9"/>
      <c r="T185" s="9"/>
      <c r="U185" s="9"/>
      <c r="V185" s="9"/>
    </row>
    <row r="186" spans="1:22" ht="32" customHeight="1">
      <c r="A186" s="1" t="s">
        <v>471</v>
      </c>
      <c r="B186" s="9"/>
      <c r="C186" s="9"/>
      <c r="D186" s="9"/>
      <c r="E186" s="9"/>
      <c r="F186" s="9"/>
      <c r="G186" s="9"/>
      <c r="H186" s="9"/>
      <c r="I186" s="11"/>
      <c r="J186" s="11"/>
      <c r="K186" s="11"/>
      <c r="L186" s="12">
        <f>IF(AND(ISNUMBER(I186),ISNUMBER(J186),J186&gt;=I186),(J186-I186)*1440,"")</f>
        <v/>
      </c>
      <c r="M186" s="12">
        <f>IF(AND(ISNUMBER(I186),ISNUMBER(K186),K186&gt;=I186),(K186-I186)*1440,"")</f>
        <v/>
      </c>
      <c r="N186" s="9" t="s">
        <v>24</v>
      </c>
      <c r="O186" s="1">
        <f>IF(N186="Not Run","",IF(AND(OR(N186="Delivered",N186="Received; receipt pending"),NOT(ISNUMBER(L186))),"Enter valid send and arrival timestamps",IF(AND(N186="Delivered",NOT(ISNUMBER(M186))),"Enter valid sender Delivered timestamp",IF(AND(ISNUMBER(J186),ISNUMBER(K186),K186&lt;J186),"Check clock order: receipt precedes arrival",""))))</f>
        <v/>
      </c>
      <c r="P186" s="9"/>
      <c r="Q186" s="9"/>
      <c r="R186" s="9"/>
      <c r="S186" s="9"/>
      <c r="T186" s="9"/>
      <c r="U186" s="9"/>
      <c r="V186" s="9"/>
    </row>
    <row r="187" spans="1:22" ht="32" customHeight="1">
      <c r="A187" s="1" t="s">
        <v>472</v>
      </c>
      <c r="B187" s="9"/>
      <c r="C187" s="9"/>
      <c r="D187" s="9"/>
      <c r="E187" s="9"/>
      <c r="F187" s="9"/>
      <c r="G187" s="9"/>
      <c r="H187" s="9"/>
      <c r="I187" s="11"/>
      <c r="J187" s="11"/>
      <c r="K187" s="11"/>
      <c r="L187" s="12">
        <f>IF(AND(ISNUMBER(I187),ISNUMBER(J187),J187&gt;=I187),(J187-I187)*1440,"")</f>
        <v/>
      </c>
      <c r="M187" s="12">
        <f>IF(AND(ISNUMBER(I187),ISNUMBER(K187),K187&gt;=I187),(K187-I187)*1440,"")</f>
        <v/>
      </c>
      <c r="N187" s="9" t="s">
        <v>24</v>
      </c>
      <c r="O187" s="1">
        <f>IF(N187="Not Run","",IF(AND(OR(N187="Delivered",N187="Received; receipt pending"),NOT(ISNUMBER(L187))),"Enter valid send and arrival timestamps",IF(AND(N187="Delivered",NOT(ISNUMBER(M187))),"Enter valid sender Delivered timestamp",IF(AND(ISNUMBER(J187),ISNUMBER(K187),K187&lt;J187),"Check clock order: receipt precedes arrival",""))))</f>
        <v/>
      </c>
      <c r="P187" s="9"/>
      <c r="Q187" s="9"/>
      <c r="R187" s="9"/>
      <c r="S187" s="9"/>
      <c r="T187" s="9"/>
      <c r="U187" s="9"/>
      <c r="V187" s="9"/>
    </row>
    <row r="188" spans="1:22" ht="32" customHeight="1">
      <c r="A188" s="1" t="s">
        <v>473</v>
      </c>
      <c r="B188" s="9"/>
      <c r="C188" s="9"/>
      <c r="D188" s="9"/>
      <c r="E188" s="9"/>
      <c r="F188" s="9"/>
      <c r="G188" s="9"/>
      <c r="H188" s="9"/>
      <c r="I188" s="11"/>
      <c r="J188" s="11"/>
      <c r="K188" s="11"/>
      <c r="L188" s="12">
        <f>IF(AND(ISNUMBER(I188),ISNUMBER(J188),J188&gt;=I188),(J188-I188)*1440,"")</f>
        <v/>
      </c>
      <c r="M188" s="12">
        <f>IF(AND(ISNUMBER(I188),ISNUMBER(K188),K188&gt;=I188),(K188-I188)*1440,"")</f>
        <v/>
      </c>
      <c r="N188" s="9" t="s">
        <v>24</v>
      </c>
      <c r="O188" s="1">
        <f>IF(N188="Not Run","",IF(AND(OR(N188="Delivered",N188="Received; receipt pending"),NOT(ISNUMBER(L188))),"Enter valid send and arrival timestamps",IF(AND(N188="Delivered",NOT(ISNUMBER(M188))),"Enter valid sender Delivered timestamp",IF(AND(ISNUMBER(J188),ISNUMBER(K188),K188&lt;J188),"Check clock order: receipt precedes arrival",""))))</f>
        <v/>
      </c>
      <c r="P188" s="9"/>
      <c r="Q188" s="9"/>
      <c r="R188" s="9"/>
      <c r="S188" s="9"/>
      <c r="T188" s="9"/>
      <c r="U188" s="9"/>
      <c r="V188" s="9"/>
    </row>
    <row r="189" spans="1:22" ht="32" customHeight="1">
      <c r="A189" s="1" t="s">
        <v>474</v>
      </c>
      <c r="B189" s="9"/>
      <c r="C189" s="9"/>
      <c r="D189" s="9"/>
      <c r="E189" s="9"/>
      <c r="F189" s="9"/>
      <c r="G189" s="9"/>
      <c r="H189" s="9"/>
      <c r="I189" s="11"/>
      <c r="J189" s="11"/>
      <c r="K189" s="11"/>
      <c r="L189" s="12">
        <f>IF(AND(ISNUMBER(I189),ISNUMBER(J189),J189&gt;=I189),(J189-I189)*1440,"")</f>
        <v/>
      </c>
      <c r="M189" s="12">
        <f>IF(AND(ISNUMBER(I189),ISNUMBER(K189),K189&gt;=I189),(K189-I189)*1440,"")</f>
        <v/>
      </c>
      <c r="N189" s="9" t="s">
        <v>24</v>
      </c>
      <c r="O189" s="1">
        <f>IF(N189="Not Run","",IF(AND(OR(N189="Delivered",N189="Received; receipt pending"),NOT(ISNUMBER(L189))),"Enter valid send and arrival timestamps",IF(AND(N189="Delivered",NOT(ISNUMBER(M189))),"Enter valid sender Delivered timestamp",IF(AND(ISNUMBER(J189),ISNUMBER(K189),K189&lt;J189),"Check clock order: receipt precedes arrival",""))))</f>
        <v/>
      </c>
      <c r="P189" s="9"/>
      <c r="Q189" s="9"/>
      <c r="R189" s="9"/>
      <c r="S189" s="9"/>
      <c r="T189" s="9"/>
      <c r="U189" s="9"/>
      <c r="V189" s="9"/>
    </row>
    <row r="190" spans="1:22" ht="32" customHeight="1">
      <c r="A190" s="1" t="s">
        <v>475</v>
      </c>
      <c r="B190" s="9"/>
      <c r="C190" s="9"/>
      <c r="D190" s="9"/>
      <c r="E190" s="9"/>
      <c r="F190" s="9"/>
      <c r="G190" s="9"/>
      <c r="H190" s="9"/>
      <c r="I190" s="11"/>
      <c r="J190" s="11"/>
      <c r="K190" s="11"/>
      <c r="L190" s="12">
        <f>IF(AND(ISNUMBER(I190),ISNUMBER(J190),J190&gt;=I190),(J190-I190)*1440,"")</f>
        <v/>
      </c>
      <c r="M190" s="12">
        <f>IF(AND(ISNUMBER(I190),ISNUMBER(K190),K190&gt;=I190),(K190-I190)*1440,"")</f>
        <v/>
      </c>
      <c r="N190" s="9" t="s">
        <v>24</v>
      </c>
      <c r="O190" s="1">
        <f>IF(N190="Not Run","",IF(AND(OR(N190="Delivered",N190="Received; receipt pending"),NOT(ISNUMBER(L190))),"Enter valid send and arrival timestamps",IF(AND(N190="Delivered",NOT(ISNUMBER(M190))),"Enter valid sender Delivered timestamp",IF(AND(ISNUMBER(J190),ISNUMBER(K190),K190&lt;J190),"Check clock order: receipt precedes arrival",""))))</f>
        <v/>
      </c>
      <c r="P190" s="9"/>
      <c r="Q190" s="9"/>
      <c r="R190" s="9"/>
      <c r="S190" s="9"/>
      <c r="T190" s="9"/>
      <c r="U190" s="9"/>
      <c r="V190" s="9"/>
    </row>
    <row r="191" spans="1:22" ht="32" customHeight="1">
      <c r="A191" s="1" t="s">
        <v>476</v>
      </c>
      <c r="B191" s="9"/>
      <c r="C191" s="9"/>
      <c r="D191" s="9"/>
      <c r="E191" s="9"/>
      <c r="F191" s="9"/>
      <c r="G191" s="9"/>
      <c r="H191" s="9"/>
      <c r="I191" s="11"/>
      <c r="J191" s="11"/>
      <c r="K191" s="11"/>
      <c r="L191" s="12">
        <f>IF(AND(ISNUMBER(I191),ISNUMBER(J191),J191&gt;=I191),(J191-I191)*1440,"")</f>
        <v/>
      </c>
      <c r="M191" s="12">
        <f>IF(AND(ISNUMBER(I191),ISNUMBER(K191),K191&gt;=I191),(K191-I191)*1440,"")</f>
        <v/>
      </c>
      <c r="N191" s="9" t="s">
        <v>24</v>
      </c>
      <c r="O191" s="1">
        <f>IF(N191="Not Run","",IF(AND(OR(N191="Delivered",N191="Received; receipt pending"),NOT(ISNUMBER(L191))),"Enter valid send and arrival timestamps",IF(AND(N191="Delivered",NOT(ISNUMBER(M191))),"Enter valid sender Delivered timestamp",IF(AND(ISNUMBER(J191),ISNUMBER(K191),K191&lt;J191),"Check clock order: receipt precedes arrival",""))))</f>
        <v/>
      </c>
      <c r="P191" s="9"/>
      <c r="Q191" s="9"/>
      <c r="R191" s="9"/>
      <c r="S191" s="9"/>
      <c r="T191" s="9"/>
      <c r="U191" s="9"/>
      <c r="V191" s="9"/>
    </row>
    <row r="192" spans="1:22" ht="32" customHeight="1">
      <c r="A192" s="1" t="s">
        <v>477</v>
      </c>
      <c r="B192" s="9"/>
      <c r="C192" s="9"/>
      <c r="D192" s="9"/>
      <c r="E192" s="9"/>
      <c r="F192" s="9"/>
      <c r="G192" s="9"/>
      <c r="H192" s="9"/>
      <c r="I192" s="11"/>
      <c r="J192" s="11"/>
      <c r="K192" s="11"/>
      <c r="L192" s="12">
        <f>IF(AND(ISNUMBER(I192),ISNUMBER(J192),J192&gt;=I192),(J192-I192)*1440,"")</f>
        <v/>
      </c>
      <c r="M192" s="12">
        <f>IF(AND(ISNUMBER(I192),ISNUMBER(K192),K192&gt;=I192),(K192-I192)*1440,"")</f>
        <v/>
      </c>
      <c r="N192" s="9" t="s">
        <v>24</v>
      </c>
      <c r="O192" s="1">
        <f>IF(N192="Not Run","",IF(AND(OR(N192="Delivered",N192="Received; receipt pending"),NOT(ISNUMBER(L192))),"Enter valid send and arrival timestamps",IF(AND(N192="Delivered",NOT(ISNUMBER(M192))),"Enter valid sender Delivered timestamp",IF(AND(ISNUMBER(J192),ISNUMBER(K192),K192&lt;J192),"Check clock order: receipt precedes arrival",""))))</f>
        <v/>
      </c>
      <c r="P192" s="9"/>
      <c r="Q192" s="9"/>
      <c r="R192" s="9"/>
      <c r="S192" s="9"/>
      <c r="T192" s="9"/>
      <c r="U192" s="9"/>
      <c r="V192" s="9"/>
    </row>
    <row r="193" spans="1:22" ht="32" customHeight="1">
      <c r="A193" s="1" t="s">
        <v>478</v>
      </c>
      <c r="B193" s="9"/>
      <c r="C193" s="9"/>
      <c r="D193" s="9"/>
      <c r="E193" s="9"/>
      <c r="F193" s="9"/>
      <c r="G193" s="9"/>
      <c r="H193" s="9"/>
      <c r="I193" s="11"/>
      <c r="J193" s="11"/>
      <c r="K193" s="11"/>
      <c r="L193" s="12">
        <f>IF(AND(ISNUMBER(I193),ISNUMBER(J193),J193&gt;=I193),(J193-I193)*1440,"")</f>
        <v/>
      </c>
      <c r="M193" s="12">
        <f>IF(AND(ISNUMBER(I193),ISNUMBER(K193),K193&gt;=I193),(K193-I193)*1440,"")</f>
        <v/>
      </c>
      <c r="N193" s="9" t="s">
        <v>24</v>
      </c>
      <c r="O193" s="1">
        <f>IF(N193="Not Run","",IF(AND(OR(N193="Delivered",N193="Received; receipt pending"),NOT(ISNUMBER(L193))),"Enter valid send and arrival timestamps",IF(AND(N193="Delivered",NOT(ISNUMBER(M193))),"Enter valid sender Delivered timestamp",IF(AND(ISNUMBER(J193),ISNUMBER(K193),K193&lt;J193),"Check clock order: receipt precedes arrival",""))))</f>
        <v/>
      </c>
      <c r="P193" s="9"/>
      <c r="Q193" s="9"/>
      <c r="R193" s="9"/>
      <c r="S193" s="9"/>
      <c r="T193" s="9"/>
      <c r="U193" s="9"/>
      <c r="V193" s="9"/>
    </row>
    <row r="194" spans="1:22" ht="32" customHeight="1">
      <c r="A194" s="1" t="s">
        <v>479</v>
      </c>
      <c r="B194" s="9"/>
      <c r="C194" s="9"/>
      <c r="D194" s="9"/>
      <c r="E194" s="9"/>
      <c r="F194" s="9"/>
      <c r="G194" s="9"/>
      <c r="H194" s="9"/>
      <c r="I194" s="11"/>
      <c r="J194" s="11"/>
      <c r="K194" s="11"/>
      <c r="L194" s="12">
        <f>IF(AND(ISNUMBER(I194),ISNUMBER(J194),J194&gt;=I194),(J194-I194)*1440,"")</f>
        <v/>
      </c>
      <c r="M194" s="12">
        <f>IF(AND(ISNUMBER(I194),ISNUMBER(K194),K194&gt;=I194),(K194-I194)*1440,"")</f>
        <v/>
      </c>
      <c r="N194" s="9" t="s">
        <v>24</v>
      </c>
      <c r="O194" s="1">
        <f>IF(N194="Not Run","",IF(AND(OR(N194="Delivered",N194="Received; receipt pending"),NOT(ISNUMBER(L194))),"Enter valid send and arrival timestamps",IF(AND(N194="Delivered",NOT(ISNUMBER(M194))),"Enter valid sender Delivered timestamp",IF(AND(ISNUMBER(J194),ISNUMBER(K194),K194&lt;J194),"Check clock order: receipt precedes arrival",""))))</f>
        <v/>
      </c>
      <c r="P194" s="9"/>
      <c r="Q194" s="9"/>
      <c r="R194" s="9"/>
      <c r="S194" s="9"/>
      <c r="T194" s="9"/>
      <c r="U194" s="9"/>
      <c r="V194" s="9"/>
    </row>
    <row r="195" spans="1:22" ht="32" customHeight="1">
      <c r="A195" s="1" t="s">
        <v>480</v>
      </c>
      <c r="B195" s="9"/>
      <c r="C195" s="9"/>
      <c r="D195" s="9"/>
      <c r="E195" s="9"/>
      <c r="F195" s="9"/>
      <c r="G195" s="9"/>
      <c r="H195" s="9"/>
      <c r="I195" s="11"/>
      <c r="J195" s="11"/>
      <c r="K195" s="11"/>
      <c r="L195" s="12">
        <f>IF(AND(ISNUMBER(I195),ISNUMBER(J195),J195&gt;=I195),(J195-I195)*1440,"")</f>
        <v/>
      </c>
      <c r="M195" s="12">
        <f>IF(AND(ISNUMBER(I195),ISNUMBER(K195),K195&gt;=I195),(K195-I195)*1440,"")</f>
        <v/>
      </c>
      <c r="N195" s="9" t="s">
        <v>24</v>
      </c>
      <c r="O195" s="1">
        <f>IF(N195="Not Run","",IF(AND(OR(N195="Delivered",N195="Received; receipt pending"),NOT(ISNUMBER(L195))),"Enter valid send and arrival timestamps",IF(AND(N195="Delivered",NOT(ISNUMBER(M195))),"Enter valid sender Delivered timestamp",IF(AND(ISNUMBER(J195),ISNUMBER(K195),K195&lt;J195),"Check clock order: receipt precedes arrival",""))))</f>
        <v/>
      </c>
      <c r="P195" s="9"/>
      <c r="Q195" s="9"/>
      <c r="R195" s="9"/>
      <c r="S195" s="9"/>
      <c r="T195" s="9"/>
      <c r="U195" s="9"/>
      <c r="V195" s="9"/>
    </row>
    <row r="196" spans="1:22" ht="32" customHeight="1">
      <c r="A196" s="1" t="s">
        <v>481</v>
      </c>
      <c r="B196" s="9"/>
      <c r="C196" s="9"/>
      <c r="D196" s="9"/>
      <c r="E196" s="9"/>
      <c r="F196" s="9"/>
      <c r="G196" s="9"/>
      <c r="H196" s="9"/>
      <c r="I196" s="11"/>
      <c r="J196" s="11"/>
      <c r="K196" s="11"/>
      <c r="L196" s="12">
        <f>IF(AND(ISNUMBER(I196),ISNUMBER(J196),J196&gt;=I196),(J196-I196)*1440,"")</f>
        <v/>
      </c>
      <c r="M196" s="12">
        <f>IF(AND(ISNUMBER(I196),ISNUMBER(K196),K196&gt;=I196),(K196-I196)*1440,"")</f>
        <v/>
      </c>
      <c r="N196" s="9" t="s">
        <v>24</v>
      </c>
      <c r="O196" s="1">
        <f>IF(N196="Not Run","",IF(AND(OR(N196="Delivered",N196="Received; receipt pending"),NOT(ISNUMBER(L196))),"Enter valid send and arrival timestamps",IF(AND(N196="Delivered",NOT(ISNUMBER(M196))),"Enter valid sender Delivered timestamp",IF(AND(ISNUMBER(J196),ISNUMBER(K196),K196&lt;J196),"Check clock order: receipt precedes arrival",""))))</f>
        <v/>
      </c>
      <c r="P196" s="9"/>
      <c r="Q196" s="9"/>
      <c r="R196" s="9"/>
      <c r="S196" s="9"/>
      <c r="T196" s="9"/>
      <c r="U196" s="9"/>
      <c r="V196" s="9"/>
    </row>
    <row r="197" spans="1:22" ht="32" customHeight="1">
      <c r="A197" s="1" t="s">
        <v>482</v>
      </c>
      <c r="B197" s="9"/>
      <c r="C197" s="9"/>
      <c r="D197" s="9"/>
      <c r="E197" s="9"/>
      <c r="F197" s="9"/>
      <c r="G197" s="9"/>
      <c r="H197" s="9"/>
      <c r="I197" s="11"/>
      <c r="J197" s="11"/>
      <c r="K197" s="11"/>
      <c r="L197" s="12">
        <f>IF(AND(ISNUMBER(I197),ISNUMBER(J197),J197&gt;=I197),(J197-I197)*1440,"")</f>
        <v/>
      </c>
      <c r="M197" s="12">
        <f>IF(AND(ISNUMBER(I197),ISNUMBER(K197),K197&gt;=I197),(K197-I197)*1440,"")</f>
        <v/>
      </c>
      <c r="N197" s="9" t="s">
        <v>24</v>
      </c>
      <c r="O197" s="1">
        <f>IF(N197="Not Run","",IF(AND(OR(N197="Delivered",N197="Received; receipt pending"),NOT(ISNUMBER(L197))),"Enter valid send and arrival timestamps",IF(AND(N197="Delivered",NOT(ISNUMBER(M197))),"Enter valid sender Delivered timestamp",IF(AND(ISNUMBER(J197),ISNUMBER(K197),K197&lt;J197),"Check clock order: receipt precedes arrival",""))))</f>
        <v/>
      </c>
      <c r="P197" s="9"/>
      <c r="Q197" s="9"/>
      <c r="R197" s="9"/>
      <c r="S197" s="9"/>
      <c r="T197" s="9"/>
      <c r="U197" s="9"/>
      <c r="V197" s="9"/>
    </row>
    <row r="198" spans="1:22" ht="32" customHeight="1">
      <c r="A198" s="1" t="s">
        <v>483</v>
      </c>
      <c r="B198" s="9"/>
      <c r="C198" s="9"/>
      <c r="D198" s="9"/>
      <c r="E198" s="9"/>
      <c r="F198" s="9"/>
      <c r="G198" s="9"/>
      <c r="H198" s="9"/>
      <c r="I198" s="11"/>
      <c r="J198" s="11"/>
      <c r="K198" s="11"/>
      <c r="L198" s="12">
        <f>IF(AND(ISNUMBER(I198),ISNUMBER(J198),J198&gt;=I198),(J198-I198)*1440,"")</f>
        <v/>
      </c>
      <c r="M198" s="12">
        <f>IF(AND(ISNUMBER(I198),ISNUMBER(K198),K198&gt;=I198),(K198-I198)*1440,"")</f>
        <v/>
      </c>
      <c r="N198" s="9" t="s">
        <v>24</v>
      </c>
      <c r="O198" s="1">
        <f>IF(N198="Not Run","",IF(AND(OR(N198="Delivered",N198="Received; receipt pending"),NOT(ISNUMBER(L198))),"Enter valid send and arrival timestamps",IF(AND(N198="Delivered",NOT(ISNUMBER(M198))),"Enter valid sender Delivered timestamp",IF(AND(ISNUMBER(J198),ISNUMBER(K198),K198&lt;J198),"Check clock order: receipt precedes arrival",""))))</f>
        <v/>
      </c>
      <c r="P198" s="9"/>
      <c r="Q198" s="9"/>
      <c r="R198" s="9"/>
      <c r="S198" s="9"/>
      <c r="T198" s="9"/>
      <c r="U198" s="9"/>
      <c r="V198" s="9"/>
    </row>
    <row r="199" spans="1:22" ht="32" customHeight="1">
      <c r="A199" s="1" t="s">
        <v>484</v>
      </c>
      <c r="B199" s="9"/>
      <c r="C199" s="9"/>
      <c r="D199" s="9"/>
      <c r="E199" s="9"/>
      <c r="F199" s="9"/>
      <c r="G199" s="9"/>
      <c r="H199" s="9"/>
      <c r="I199" s="11"/>
      <c r="J199" s="11"/>
      <c r="K199" s="11"/>
      <c r="L199" s="12">
        <f>IF(AND(ISNUMBER(I199),ISNUMBER(J199),J199&gt;=I199),(J199-I199)*1440,"")</f>
        <v/>
      </c>
      <c r="M199" s="12">
        <f>IF(AND(ISNUMBER(I199),ISNUMBER(K199),K199&gt;=I199),(K199-I199)*1440,"")</f>
        <v/>
      </c>
      <c r="N199" s="9" t="s">
        <v>24</v>
      </c>
      <c r="O199" s="1">
        <f>IF(N199="Not Run","",IF(AND(OR(N199="Delivered",N199="Received; receipt pending"),NOT(ISNUMBER(L199))),"Enter valid send and arrival timestamps",IF(AND(N199="Delivered",NOT(ISNUMBER(M199))),"Enter valid sender Delivered timestamp",IF(AND(ISNUMBER(J199),ISNUMBER(K199),K199&lt;J199),"Check clock order: receipt precedes arrival",""))))</f>
        <v/>
      </c>
      <c r="P199" s="9"/>
      <c r="Q199" s="9"/>
      <c r="R199" s="9"/>
      <c r="S199" s="9"/>
      <c r="T199" s="9"/>
      <c r="U199" s="9"/>
      <c r="V199" s="9"/>
    </row>
    <row r="200" spans="1:22" ht="32" customHeight="1">
      <c r="A200" s="1" t="s">
        <v>485</v>
      </c>
      <c r="B200" s="9"/>
      <c r="C200" s="9"/>
      <c r="D200" s="9"/>
      <c r="E200" s="9"/>
      <c r="F200" s="9"/>
      <c r="G200" s="9"/>
      <c r="H200" s="9"/>
      <c r="I200" s="11"/>
      <c r="J200" s="11"/>
      <c r="K200" s="11"/>
      <c r="L200" s="12">
        <f>IF(AND(ISNUMBER(I200),ISNUMBER(J200),J200&gt;=I200),(J200-I200)*1440,"")</f>
        <v/>
      </c>
      <c r="M200" s="12">
        <f>IF(AND(ISNUMBER(I200),ISNUMBER(K200),K200&gt;=I200),(K200-I200)*1440,"")</f>
        <v/>
      </c>
      <c r="N200" s="9" t="s">
        <v>24</v>
      </c>
      <c r="O200" s="1">
        <f>IF(N200="Not Run","",IF(AND(OR(N200="Delivered",N200="Received; receipt pending"),NOT(ISNUMBER(L200))),"Enter valid send and arrival timestamps",IF(AND(N200="Delivered",NOT(ISNUMBER(M200))),"Enter valid sender Delivered timestamp",IF(AND(ISNUMBER(J200),ISNUMBER(K200),K200&lt;J200),"Check clock order: receipt precedes arrival",""))))</f>
        <v/>
      </c>
      <c r="P200" s="9"/>
      <c r="Q200" s="9"/>
      <c r="R200" s="9"/>
      <c r="S200" s="9"/>
      <c r="T200" s="9"/>
      <c r="U200" s="9"/>
      <c r="V200" s="9"/>
    </row>
    <row r="201" spans="1:22" ht="32" customHeight="1">
      <c r="A201" s="1" t="s">
        <v>486</v>
      </c>
      <c r="B201" s="9"/>
      <c r="C201" s="9"/>
      <c r="D201" s="9"/>
      <c r="E201" s="9"/>
      <c r="F201" s="9"/>
      <c r="G201" s="9"/>
      <c r="H201" s="9"/>
      <c r="I201" s="11"/>
      <c r="J201" s="11"/>
      <c r="K201" s="11"/>
      <c r="L201" s="12">
        <f>IF(AND(ISNUMBER(I201),ISNUMBER(J201),J201&gt;=I201),(J201-I201)*1440,"")</f>
        <v/>
      </c>
      <c r="M201" s="12">
        <f>IF(AND(ISNUMBER(I201),ISNUMBER(K201),K201&gt;=I201),(K201-I201)*1440,"")</f>
        <v/>
      </c>
      <c r="N201" s="9" t="s">
        <v>24</v>
      </c>
      <c r="O201" s="1">
        <f>IF(N201="Not Run","",IF(AND(OR(N201="Delivered",N201="Received; receipt pending"),NOT(ISNUMBER(L201))),"Enter valid send and arrival timestamps",IF(AND(N201="Delivered",NOT(ISNUMBER(M201))),"Enter valid sender Delivered timestamp",IF(AND(ISNUMBER(J201),ISNUMBER(K201),K201&lt;J201),"Check clock order: receipt precedes arrival",""))))</f>
        <v/>
      </c>
      <c r="P201" s="9"/>
      <c r="Q201" s="9"/>
      <c r="R201" s="9"/>
      <c r="S201" s="9"/>
      <c r="T201" s="9"/>
      <c r="U201" s="9"/>
      <c r="V201" s="9"/>
    </row>
    <row r="202" spans="1:22" ht="32" customHeight="1">
      <c r="A202" s="1" t="s">
        <v>487</v>
      </c>
      <c r="B202" s="9"/>
      <c r="C202" s="9"/>
      <c r="D202" s="9"/>
      <c r="E202" s="9"/>
      <c r="F202" s="9"/>
      <c r="G202" s="9"/>
      <c r="H202" s="9"/>
      <c r="I202" s="11"/>
      <c r="J202" s="11"/>
      <c r="K202" s="11"/>
      <c r="L202" s="12">
        <f>IF(AND(ISNUMBER(I202),ISNUMBER(J202),J202&gt;=I202),(J202-I202)*1440,"")</f>
        <v/>
      </c>
      <c r="M202" s="12">
        <f>IF(AND(ISNUMBER(I202),ISNUMBER(K202),K202&gt;=I202),(K202-I202)*1440,"")</f>
        <v/>
      </c>
      <c r="N202" s="9" t="s">
        <v>24</v>
      </c>
      <c r="O202" s="1">
        <f>IF(N202="Not Run","",IF(AND(OR(N202="Delivered",N202="Received; receipt pending"),NOT(ISNUMBER(L202))),"Enter valid send and arrival timestamps",IF(AND(N202="Delivered",NOT(ISNUMBER(M202))),"Enter valid sender Delivered timestamp",IF(AND(ISNUMBER(J202),ISNUMBER(K202),K202&lt;J202),"Check clock order: receipt precedes arrival",""))))</f>
        <v/>
      </c>
      <c r="P202" s="9"/>
      <c r="Q202" s="9"/>
      <c r="R202" s="9"/>
      <c r="S202" s="9"/>
      <c r="T202" s="9"/>
      <c r="U202" s="9"/>
      <c r="V202" s="9"/>
    </row>
    <row r="203" spans="1:22" ht="32" customHeight="1">
      <c r="A203" s="1" t="s">
        <v>488</v>
      </c>
      <c r="B203" s="9"/>
      <c r="C203" s="9"/>
      <c r="D203" s="9"/>
      <c r="E203" s="9"/>
      <c r="F203" s="9"/>
      <c r="G203" s="9"/>
      <c r="H203" s="9"/>
      <c r="I203" s="11"/>
      <c r="J203" s="11"/>
      <c r="K203" s="11"/>
      <c r="L203" s="12">
        <f>IF(AND(ISNUMBER(I203),ISNUMBER(J203),J203&gt;=I203),(J203-I203)*1440,"")</f>
        <v/>
      </c>
      <c r="M203" s="12">
        <f>IF(AND(ISNUMBER(I203),ISNUMBER(K203),K203&gt;=I203),(K203-I203)*1440,"")</f>
        <v/>
      </c>
      <c r="N203" s="9" t="s">
        <v>24</v>
      </c>
      <c r="O203" s="1">
        <f>IF(N203="Not Run","",IF(AND(OR(N203="Delivered",N203="Received; receipt pending"),NOT(ISNUMBER(L203))),"Enter valid send and arrival timestamps",IF(AND(N203="Delivered",NOT(ISNUMBER(M203))),"Enter valid sender Delivered timestamp",IF(AND(ISNUMBER(J203),ISNUMBER(K203),K203&lt;J203),"Check clock order: receipt precedes arrival",""))))</f>
        <v/>
      </c>
      <c r="P203" s="9"/>
      <c r="Q203" s="9"/>
      <c r="R203" s="9"/>
      <c r="S203" s="9"/>
      <c r="T203" s="9"/>
      <c r="U203" s="9"/>
      <c r="V203" s="9"/>
    </row>
    <row r="204" spans="1:22" ht="32" customHeight="1">
      <c r="A204" s="1" t="s">
        <v>489</v>
      </c>
      <c r="B204" s="9"/>
      <c r="C204" s="9"/>
      <c r="D204" s="9"/>
      <c r="E204" s="9"/>
      <c r="F204" s="9"/>
      <c r="G204" s="9"/>
      <c r="H204" s="9"/>
      <c r="I204" s="11"/>
      <c r="J204" s="11"/>
      <c r="K204" s="11"/>
      <c r="L204" s="12">
        <f>IF(AND(ISNUMBER(I204),ISNUMBER(J204),J204&gt;=I204),(J204-I204)*1440,"")</f>
        <v/>
      </c>
      <c r="M204" s="12">
        <f>IF(AND(ISNUMBER(I204),ISNUMBER(K204),K204&gt;=I204),(K204-I204)*1440,"")</f>
        <v/>
      </c>
      <c r="N204" s="9" t="s">
        <v>24</v>
      </c>
      <c r="O204" s="1">
        <f>IF(N204="Not Run","",IF(AND(OR(N204="Delivered",N204="Received; receipt pending"),NOT(ISNUMBER(L204))),"Enter valid send and arrival timestamps",IF(AND(N204="Delivered",NOT(ISNUMBER(M204))),"Enter valid sender Delivered timestamp",IF(AND(ISNUMBER(J204),ISNUMBER(K204),K204&lt;J204),"Check clock order: receipt precedes arrival",""))))</f>
        <v/>
      </c>
      <c r="P204" s="9"/>
      <c r="Q204" s="9"/>
      <c r="R204" s="9"/>
      <c r="S204" s="9"/>
      <c r="T204" s="9"/>
      <c r="U204" s="9"/>
      <c r="V204" s="9"/>
    </row>
    <row r="205" spans="1:22" ht="32" customHeight="1">
      <c r="A205" s="1" t="s">
        <v>490</v>
      </c>
      <c r="B205" s="9"/>
      <c r="C205" s="9"/>
      <c r="D205" s="9"/>
      <c r="E205" s="9"/>
      <c r="F205" s="9"/>
      <c r="G205" s="9"/>
      <c r="H205" s="9"/>
      <c r="I205" s="11"/>
      <c r="J205" s="11"/>
      <c r="K205" s="11"/>
      <c r="L205" s="12">
        <f>IF(AND(ISNUMBER(I205),ISNUMBER(J205),J205&gt;=I205),(J205-I205)*1440,"")</f>
        <v/>
      </c>
      <c r="M205" s="12">
        <f>IF(AND(ISNUMBER(I205),ISNUMBER(K205),K205&gt;=I205),(K205-I205)*1440,"")</f>
        <v/>
      </c>
      <c r="N205" s="9" t="s">
        <v>24</v>
      </c>
      <c r="O205" s="1">
        <f>IF(N205="Not Run","",IF(AND(OR(N205="Delivered",N205="Received; receipt pending"),NOT(ISNUMBER(L205))),"Enter valid send and arrival timestamps",IF(AND(N205="Delivered",NOT(ISNUMBER(M205))),"Enter valid sender Delivered timestamp",IF(AND(ISNUMBER(J205),ISNUMBER(K205),K205&lt;J205),"Check clock order: receipt precedes arrival",""))))</f>
        <v/>
      </c>
      <c r="P205" s="9"/>
      <c r="Q205" s="9"/>
      <c r="R205" s="9"/>
      <c r="S205" s="9"/>
      <c r="T205" s="9"/>
      <c r="U205" s="9"/>
      <c r="V205" s="9"/>
    </row>
  </sheetData>
  <mergeCells count="2">
    <mergeCell ref="A1:V1"/>
    <mergeCell ref="A2:V3"/>
  </mergeCells>
  <conditionalFormatting sqref="N6:N205">
    <cfRule type="expression" dxfId="0" priority="1">
      <formula>$N6="Passed"</formula>
    </cfRule>
    <cfRule type="expression" dxfId="0" priority="2">
      <formula>$N6="Delivered"</formula>
    </cfRule>
    <cfRule type="expression" dxfId="1" priority="3">
      <formula>$N6="Failed"</formula>
    </cfRule>
    <cfRule type="expression" dxfId="1" priority="4">
      <formula>$N6="Expired"</formula>
    </cfRule>
    <cfRule type="expression" dxfId="2" priority="5">
      <formula>$N6="Blocked"</formula>
    </cfRule>
    <cfRule type="expression" dxfId="2" priority="6">
      <formula>$N6="Received; receipt pending"</formula>
    </cfRule>
    <cfRule type="expression" dxfId="3" priority="7">
      <formula>$N6="Not Run"</formula>
    </cfRule>
    <cfRule type="expression" dxfId="3" priority="8">
      <formula>$N6="Not Applicable"</formula>
    </cfRule>
  </conditionalFormatting>
  <conditionalFormatting sqref="O6:O205">
    <cfRule type="expression" dxfId="1" priority="9">
      <formula>LEN($O6)&gt;0</formula>
    </cfRule>
  </conditionalFormatting>
  <dataValidations count="9">
    <dataValidation type="list" allowBlank="1" showInputMessage="1" showErrorMessage="1" sqref="B6:B205">
      <formula1>PhysicalCaseIDs</formula1>
    </dataValidation>
    <dataValidation type="list" allowBlank="1" showInputMessage="1" showErrorMessage="1" errorTitle="Choose a listed status" error="Use the drop-down status values." promptTitle="Record actual outcome" prompt="Not Run is the starting state. Add actual observations/evidence before marking Passed." sqref="N6:N205">
      <formula1>"Not Run,Delivered,Received; receipt pending,Failed,Expired,Blocked"</formula1>
    </dataValidation>
    <dataValidation type="decimal" operator="greaterThanOrEqual" allowBlank="1" showInputMessage="1" showErrorMessage="1" sqref="D6:D205">
      <formula1>0</formula1>
    </dataValidation>
    <dataValidation type="whole" allowBlank="1" showInputMessage="1" showErrorMessage="1" sqref="E6:E205">
      <formula1>1</formula1>
      <formula2>16</formula2>
    </dataValidation>
    <dataValidation type="whole" allowBlank="1" showInputMessage="1" showErrorMessage="1" sqref="T6:T205">
      <formula1>1</formula1>
      <formula2>16</formula2>
    </dataValidation>
    <dataValidation type="decimal" operator="greaterThanOrEqual" allowBlank="1" showInputMessage="1" showErrorMessage="1" sqref="P6:P205">
      <formula1>0</formula1>
    </dataValidation>
    <dataValidation type="decimal" allowBlank="1" showInputMessage="1" showErrorMessage="1" sqref="S6:S205">
      <formula1>1</formula1>
      <formula2>10080</formula2>
    </dataValidation>
    <dataValidation type="list" allowBlank="1" showInputMessage="1" showErrorMessage="1" sqref="Q6:Q205">
      <formula1>"All on,Relay locked,Receiver locked,Sender locked,All locked"</formula1>
    </dataValidation>
    <dataValidation type="list" allowBlank="1" showInputMessage="1" showErrorMessage="1" sqref="R6:R205">
      <formula1>"Default,Battery saver,Restricted,Unrestricted,Other"</formula1>
    </dataValidation>
  </dataValidations>
  <pageMargins left="0.25" right="0.25" top="0.4" bottom="0.4" header="0.3" footer="0.3"/>
  <pageSetup paperSize="8" fitToHeight="0" orientation="landscape"/>
  <headerFooter>
    <oddHeader>&amp;LOfflineChat Mesh v2&amp;RTiming Runs</oddHeader>
    <oddFooter>&amp;LExperimental — device checks unverified&amp;CPage &amp;P of &amp;N&amp;RRecord actual evidence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67A77"/>
    <pageSetUpPr fitToPage="1"/>
  </sheetPr>
  <dimension ref="A1:N2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2.7109375" style="1" customWidth="1"/>
    <col min="2" max="2" width="39.7109375" style="1" customWidth="1"/>
    <col min="3" max="4" width="15.7109375" style="1" customWidth="1"/>
    <col min="5" max="7" width="14.7109375" style="1" customWidth="1"/>
    <col min="8" max="14" width="18.7109375" style="1" customWidth="1"/>
  </cols>
  <sheetData>
    <row r="1" spans="1:14" ht="40" customHeight="1">
      <c r="A1" s="2" t="s">
        <v>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4" customHeight="1">
      <c r="A2" s="3" t="s">
        <v>492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4" ht="32" customHeight="1">
      <c r="A5" s="4" t="s">
        <v>270</v>
      </c>
      <c r="B5" s="4" t="s">
        <v>493</v>
      </c>
      <c r="C5" s="4" t="s">
        <v>494</v>
      </c>
      <c r="D5" s="4" t="s">
        <v>495</v>
      </c>
      <c r="E5" s="4" t="s">
        <v>496</v>
      </c>
      <c r="F5" s="4" t="s">
        <v>497</v>
      </c>
      <c r="G5" s="4" t="s">
        <v>498</v>
      </c>
      <c r="H5" s="4" t="s">
        <v>499</v>
      </c>
      <c r="I5" s="4" t="s">
        <v>500</v>
      </c>
      <c r="J5" s="4" t="s">
        <v>501</v>
      </c>
      <c r="K5" s="4" t="s">
        <v>502</v>
      </c>
      <c r="L5" s="4" t="s">
        <v>503</v>
      </c>
      <c r="M5" s="4" t="s">
        <v>504</v>
      </c>
      <c r="N5" s="4" t="s">
        <v>505</v>
      </c>
    </row>
    <row r="6" spans="1:14" ht="45" customHeight="1">
      <c r="A6" s="1" t="s">
        <v>17</v>
      </c>
      <c r="B6" s="1" t="s">
        <v>20</v>
      </c>
      <c r="C6" s="6">
        <f>COUNTIFS('Timing Runs'!$B$6:$B$205,$A6,'Timing Runs'!$N$6:$N$205,"Delivered")+COUNTIFS('Timing Runs'!$B$6:$B$205,$A6,'Timing Runs'!$N$6:$N$205,"Received; receipt pending")+COUNTIFS('Timing Runs'!$B$6:$B$205,$A6,'Timing Runs'!$N$6:$N$205,"Failed")+COUNTIFS('Timing Runs'!$B$6:$B$205,$A6,'Timing Runs'!$N$6:$N$205,"Expired")</f>
        <v>0</v>
      </c>
      <c r="D6" s="6">
        <f>COUNTIFS('Timing Runs'!$B$6:$B$205,$A6,'Timing Runs'!$N$6:$N$205,"Delivered")+COUNTIFS('Timing Runs'!$B$6:$B$205,$A6,'Timing Runs'!$N$6:$N$205,"Received; receipt pending")</f>
        <v>0</v>
      </c>
      <c r="E6" s="6">
        <f>COUNTIFS('Timing Runs'!$B$6:$B$205,$A6,'Timing Runs'!$N$6:$N$205,"Failed")</f>
        <v>0</v>
      </c>
      <c r="F6" s="6">
        <f>COUNTIFS('Timing Runs'!$B$6:$B$205,$A6,'Timing Runs'!$N$6:$N$205,"Expired")</f>
        <v>0</v>
      </c>
      <c r="G6" s="6">
        <f>COUNTIFS('Timing Runs'!$B$6:$B$205,$A6,'Timing Runs'!$N$6:$N$205,"Blocked")</f>
        <v>0</v>
      </c>
      <c r="H6" s="7">
        <f>IF(C6=0,"",D6/C6)</f>
        <v/>
      </c>
      <c r="I6" s="12" t="str">
        <f t="array" ref="I6">IF(SUMPRODUCT(('Timing Runs'!$B$6:$B$205=$A6)*ISNUMBER('Timing Runs'!$L$6:$L$205)*(('Timing Runs'!$N$6:$N$205="Delivered")+('Timing Runs'!$N$6:$N$205="Received; receipt pending"))*('Timing Runs'!$O$6:$O$205=""))=0,"",MIN(IF(('Timing Runs'!$B$6:$B$205=$A6)*ISNUMBER('Timing Runs'!$L$6:$L$205)*(('Timing Runs'!$N$6:$N$205="Delivered")+('Timing Runs'!$N$6:$N$205="Received; receipt pending"))*('Timing Runs'!$O$6:$O$205=""),'Timing Runs'!$L$6:$L$205)))</f>
        <v/>
      </c>
      <c r="J6" s="12" t="str">
        <f t="array" ref="J6">IF(SUMPRODUCT(('Timing Runs'!$B$6:$B$205=$A6)*ISNUMBER('Timing Runs'!$L$6:$L$205)*(('Timing Runs'!$N$6:$N$205="Delivered")+('Timing Runs'!$N$6:$N$205="Received; receipt pending"))*('Timing Runs'!$O$6:$O$205=""))=0,"",MEDIAN(IF(('Timing Runs'!$B$6:$B$205=$A6)*ISNUMBER('Timing Runs'!$L$6:$L$205)*(('Timing Runs'!$N$6:$N$205="Delivered")+('Timing Runs'!$N$6:$N$205="Received; receipt pending"))*('Timing Runs'!$O$6:$O$205=""),'Timing Runs'!$L$6:$L$205)))</f>
        <v/>
      </c>
      <c r="K6" s="12" t="str">
        <f t="array" ref="K6">IF(SUMPRODUCT(('Timing Runs'!$B$6:$B$205=$A6)*ISNUMBER('Timing Runs'!$L$6:$L$205)*(('Timing Runs'!$N$6:$N$205="Delivered")+('Timing Runs'!$N$6:$N$205="Received; receipt pending"))*('Timing Runs'!$O$6:$O$205=""))=0,"",MAX(IF(('Timing Runs'!$B$6:$B$205=$A6)*ISNUMBER('Timing Runs'!$L$6:$L$205)*(('Timing Runs'!$N$6:$N$205="Delivered")+('Timing Runs'!$N$6:$N$205="Received; receipt pending"))*('Timing Runs'!$O$6:$O$205=""),'Timing Runs'!$L$6:$L$205)))</f>
        <v/>
      </c>
      <c r="L6" s="12" t="str">
        <f t="array" ref="L6">IF(SUMPRODUCT(('Timing Runs'!$B$6:$B$205=$A6)*ISNUMBER('Timing Runs'!$M$6:$M$205)*('Timing Runs'!$N$6:$N$205="Delivered")*('Timing Runs'!$O$6:$O$205=""))=0,"",MIN(IF(('Timing Runs'!$B$6:$B$205=$A6)*ISNUMBER('Timing Runs'!$M$6:$M$205)*('Timing Runs'!$N$6:$N$205="Delivered")*('Timing Runs'!$O$6:$O$205=""),'Timing Runs'!$M$6:$M$205)))</f>
        <v/>
      </c>
      <c r="M6" s="12" t="str">
        <f t="array" ref="M6">IF(SUMPRODUCT(('Timing Runs'!$B$6:$B$205=$A6)*ISNUMBER('Timing Runs'!$M$6:$M$205)*('Timing Runs'!$N$6:$N$205="Delivered")*('Timing Runs'!$O$6:$O$205=""))=0,"",MEDIAN(IF(('Timing Runs'!$B$6:$B$205=$A6)*ISNUMBER('Timing Runs'!$M$6:$M$205)*('Timing Runs'!$N$6:$N$205="Delivered")*('Timing Runs'!$O$6:$O$205=""),'Timing Runs'!$M$6:$M$205)))</f>
        <v/>
      </c>
      <c r="N6" s="12" t="str">
        <f t="array" ref="N6">IF(SUMPRODUCT(('Timing Runs'!$B$6:$B$205=$A6)*ISNUMBER('Timing Runs'!$M$6:$M$205)*('Timing Runs'!$N$6:$N$205="Delivered")*('Timing Runs'!$O$6:$O$205=""))=0,"",MAX(IF(('Timing Runs'!$B$6:$B$205=$A6)*ISNUMBER('Timing Runs'!$M$6:$M$205)*('Timing Runs'!$N$6:$N$205="Delivered")*('Timing Runs'!$O$6:$O$205=""),'Timing Runs'!$M$6:$M$205)))</f>
        <v/>
      </c>
    </row>
    <row r="7" spans="1:14" ht="45" customHeight="1">
      <c r="A7" s="1" t="s">
        <v>26</v>
      </c>
      <c r="B7" s="1" t="s">
        <v>28</v>
      </c>
      <c r="C7" s="6">
        <f>COUNTIFS('Timing Runs'!$B$6:$B$205,$A7,'Timing Runs'!$N$6:$N$205,"Delivered")+COUNTIFS('Timing Runs'!$B$6:$B$205,$A7,'Timing Runs'!$N$6:$N$205,"Received; receipt pending")+COUNTIFS('Timing Runs'!$B$6:$B$205,$A7,'Timing Runs'!$N$6:$N$205,"Failed")+COUNTIFS('Timing Runs'!$B$6:$B$205,$A7,'Timing Runs'!$N$6:$N$205,"Expired")</f>
        <v>0</v>
      </c>
      <c r="D7" s="6">
        <f>COUNTIFS('Timing Runs'!$B$6:$B$205,$A7,'Timing Runs'!$N$6:$N$205,"Delivered")+COUNTIFS('Timing Runs'!$B$6:$B$205,$A7,'Timing Runs'!$N$6:$N$205,"Received; receipt pending")</f>
        <v>0</v>
      </c>
      <c r="E7" s="6">
        <f>COUNTIFS('Timing Runs'!$B$6:$B$205,$A7,'Timing Runs'!$N$6:$N$205,"Failed")</f>
        <v>0</v>
      </c>
      <c r="F7" s="6">
        <f>COUNTIFS('Timing Runs'!$B$6:$B$205,$A7,'Timing Runs'!$N$6:$N$205,"Expired")</f>
        <v>0</v>
      </c>
      <c r="G7" s="6">
        <f>COUNTIFS('Timing Runs'!$B$6:$B$205,$A7,'Timing Runs'!$N$6:$N$205,"Blocked")</f>
        <v>0</v>
      </c>
      <c r="H7" s="7">
        <f>IF(C7=0,"",D7/C7)</f>
        <v/>
      </c>
      <c r="I7" s="12" t="str">
        <f t="array" ref="I7">IF(SUMPRODUCT(('Timing Runs'!$B$6:$B$205=$A7)*ISNUMBER('Timing Runs'!$L$6:$L$205)*(('Timing Runs'!$N$6:$N$205="Delivered")+('Timing Runs'!$N$6:$N$205="Received; receipt pending"))*('Timing Runs'!$O$6:$O$205=""))=0,"",MIN(IF(('Timing Runs'!$B$6:$B$205=$A7)*ISNUMBER('Timing Runs'!$L$6:$L$205)*(('Timing Runs'!$N$6:$N$205="Delivered")+('Timing Runs'!$N$6:$N$205="Received; receipt pending"))*('Timing Runs'!$O$6:$O$205=""),'Timing Runs'!$L$6:$L$205)))</f>
        <v/>
      </c>
      <c r="J7" s="12" t="str">
        <f t="array" ref="J7">IF(SUMPRODUCT(('Timing Runs'!$B$6:$B$205=$A7)*ISNUMBER('Timing Runs'!$L$6:$L$205)*(('Timing Runs'!$N$6:$N$205="Delivered")+('Timing Runs'!$N$6:$N$205="Received; receipt pending"))*('Timing Runs'!$O$6:$O$205=""))=0,"",MEDIAN(IF(('Timing Runs'!$B$6:$B$205=$A7)*ISNUMBER('Timing Runs'!$L$6:$L$205)*(('Timing Runs'!$N$6:$N$205="Delivered")+('Timing Runs'!$N$6:$N$205="Received; receipt pending"))*('Timing Runs'!$O$6:$O$205=""),'Timing Runs'!$L$6:$L$205)))</f>
        <v/>
      </c>
      <c r="K7" s="12" t="str">
        <f t="array" ref="K7">IF(SUMPRODUCT(('Timing Runs'!$B$6:$B$205=$A7)*ISNUMBER('Timing Runs'!$L$6:$L$205)*(('Timing Runs'!$N$6:$N$205="Delivered")+('Timing Runs'!$N$6:$N$205="Received; receipt pending"))*('Timing Runs'!$O$6:$O$205=""))=0,"",MAX(IF(('Timing Runs'!$B$6:$B$205=$A7)*ISNUMBER('Timing Runs'!$L$6:$L$205)*(('Timing Runs'!$N$6:$N$205="Delivered")+('Timing Runs'!$N$6:$N$205="Received; receipt pending"))*('Timing Runs'!$O$6:$O$205=""),'Timing Runs'!$L$6:$L$205)))</f>
        <v/>
      </c>
      <c r="L7" s="12" t="str">
        <f t="array" ref="L7">IF(SUMPRODUCT(('Timing Runs'!$B$6:$B$205=$A7)*ISNUMBER('Timing Runs'!$M$6:$M$205)*('Timing Runs'!$N$6:$N$205="Delivered")*('Timing Runs'!$O$6:$O$205=""))=0,"",MIN(IF(('Timing Runs'!$B$6:$B$205=$A7)*ISNUMBER('Timing Runs'!$M$6:$M$205)*('Timing Runs'!$N$6:$N$205="Delivered")*('Timing Runs'!$O$6:$O$205=""),'Timing Runs'!$M$6:$M$205)))</f>
        <v/>
      </c>
      <c r="M7" s="12" t="str">
        <f t="array" ref="M7">IF(SUMPRODUCT(('Timing Runs'!$B$6:$B$205=$A7)*ISNUMBER('Timing Runs'!$M$6:$M$205)*('Timing Runs'!$N$6:$N$205="Delivered")*('Timing Runs'!$O$6:$O$205=""))=0,"",MEDIAN(IF(('Timing Runs'!$B$6:$B$205=$A7)*ISNUMBER('Timing Runs'!$M$6:$M$205)*('Timing Runs'!$N$6:$N$205="Delivered")*('Timing Runs'!$O$6:$O$205=""),'Timing Runs'!$M$6:$M$205)))</f>
        <v/>
      </c>
      <c r="N7" s="12" t="str">
        <f t="array" ref="N7">IF(SUMPRODUCT(('Timing Runs'!$B$6:$B$205=$A7)*ISNUMBER('Timing Runs'!$M$6:$M$205)*('Timing Runs'!$N$6:$N$205="Delivered")*('Timing Runs'!$O$6:$O$205=""))=0,"",MAX(IF(('Timing Runs'!$B$6:$B$205=$A7)*ISNUMBER('Timing Runs'!$M$6:$M$205)*('Timing Runs'!$N$6:$N$205="Delivered")*('Timing Runs'!$O$6:$O$205=""),'Timing Runs'!$M$6:$M$205)))</f>
        <v/>
      </c>
    </row>
    <row r="8" spans="1:14" ht="45" customHeight="1">
      <c r="A8" s="1" t="s">
        <v>33</v>
      </c>
      <c r="B8" s="1" t="s">
        <v>35</v>
      </c>
      <c r="C8" s="6">
        <f>COUNTIFS('Timing Runs'!$B$6:$B$205,$A8,'Timing Runs'!$N$6:$N$205,"Delivered")+COUNTIFS('Timing Runs'!$B$6:$B$205,$A8,'Timing Runs'!$N$6:$N$205,"Received; receipt pending")+COUNTIFS('Timing Runs'!$B$6:$B$205,$A8,'Timing Runs'!$N$6:$N$205,"Failed")+COUNTIFS('Timing Runs'!$B$6:$B$205,$A8,'Timing Runs'!$N$6:$N$205,"Expired")</f>
        <v>0</v>
      </c>
      <c r="D8" s="6">
        <f>COUNTIFS('Timing Runs'!$B$6:$B$205,$A8,'Timing Runs'!$N$6:$N$205,"Delivered")+COUNTIFS('Timing Runs'!$B$6:$B$205,$A8,'Timing Runs'!$N$6:$N$205,"Received; receipt pending")</f>
        <v>0</v>
      </c>
      <c r="E8" s="6">
        <f>COUNTIFS('Timing Runs'!$B$6:$B$205,$A8,'Timing Runs'!$N$6:$N$205,"Failed")</f>
        <v>0</v>
      </c>
      <c r="F8" s="6">
        <f>COUNTIFS('Timing Runs'!$B$6:$B$205,$A8,'Timing Runs'!$N$6:$N$205,"Expired")</f>
        <v>0</v>
      </c>
      <c r="G8" s="6">
        <f>COUNTIFS('Timing Runs'!$B$6:$B$205,$A8,'Timing Runs'!$N$6:$N$205,"Blocked")</f>
        <v>0</v>
      </c>
      <c r="H8" s="7">
        <f>IF(C8=0,"",D8/C8)</f>
        <v/>
      </c>
      <c r="I8" s="12" t="str">
        <f t="array" ref="I8">IF(SUMPRODUCT(('Timing Runs'!$B$6:$B$205=$A8)*ISNUMBER('Timing Runs'!$L$6:$L$205)*(('Timing Runs'!$N$6:$N$205="Delivered")+('Timing Runs'!$N$6:$N$205="Received; receipt pending"))*('Timing Runs'!$O$6:$O$205=""))=0,"",MIN(IF(('Timing Runs'!$B$6:$B$205=$A8)*ISNUMBER('Timing Runs'!$L$6:$L$205)*(('Timing Runs'!$N$6:$N$205="Delivered")+('Timing Runs'!$N$6:$N$205="Received; receipt pending"))*('Timing Runs'!$O$6:$O$205=""),'Timing Runs'!$L$6:$L$205)))</f>
        <v/>
      </c>
      <c r="J8" s="12" t="str">
        <f t="array" ref="J8">IF(SUMPRODUCT(('Timing Runs'!$B$6:$B$205=$A8)*ISNUMBER('Timing Runs'!$L$6:$L$205)*(('Timing Runs'!$N$6:$N$205="Delivered")+('Timing Runs'!$N$6:$N$205="Received; receipt pending"))*('Timing Runs'!$O$6:$O$205=""))=0,"",MEDIAN(IF(('Timing Runs'!$B$6:$B$205=$A8)*ISNUMBER('Timing Runs'!$L$6:$L$205)*(('Timing Runs'!$N$6:$N$205="Delivered")+('Timing Runs'!$N$6:$N$205="Received; receipt pending"))*('Timing Runs'!$O$6:$O$205=""),'Timing Runs'!$L$6:$L$205)))</f>
        <v/>
      </c>
      <c r="K8" s="12" t="str">
        <f t="array" ref="K8">IF(SUMPRODUCT(('Timing Runs'!$B$6:$B$205=$A8)*ISNUMBER('Timing Runs'!$L$6:$L$205)*(('Timing Runs'!$N$6:$N$205="Delivered")+('Timing Runs'!$N$6:$N$205="Received; receipt pending"))*('Timing Runs'!$O$6:$O$205=""))=0,"",MAX(IF(('Timing Runs'!$B$6:$B$205=$A8)*ISNUMBER('Timing Runs'!$L$6:$L$205)*(('Timing Runs'!$N$6:$N$205="Delivered")+('Timing Runs'!$N$6:$N$205="Received; receipt pending"))*('Timing Runs'!$O$6:$O$205=""),'Timing Runs'!$L$6:$L$205)))</f>
        <v/>
      </c>
      <c r="L8" s="12" t="str">
        <f t="array" ref="L8">IF(SUMPRODUCT(('Timing Runs'!$B$6:$B$205=$A8)*ISNUMBER('Timing Runs'!$M$6:$M$205)*('Timing Runs'!$N$6:$N$205="Delivered")*('Timing Runs'!$O$6:$O$205=""))=0,"",MIN(IF(('Timing Runs'!$B$6:$B$205=$A8)*ISNUMBER('Timing Runs'!$M$6:$M$205)*('Timing Runs'!$N$6:$N$205="Delivered")*('Timing Runs'!$O$6:$O$205=""),'Timing Runs'!$M$6:$M$205)))</f>
        <v/>
      </c>
      <c r="M8" s="12" t="str">
        <f t="array" ref="M8">IF(SUMPRODUCT(('Timing Runs'!$B$6:$B$205=$A8)*ISNUMBER('Timing Runs'!$M$6:$M$205)*('Timing Runs'!$N$6:$N$205="Delivered")*('Timing Runs'!$O$6:$O$205=""))=0,"",MEDIAN(IF(('Timing Runs'!$B$6:$B$205=$A8)*ISNUMBER('Timing Runs'!$M$6:$M$205)*('Timing Runs'!$N$6:$N$205="Delivered")*('Timing Runs'!$O$6:$O$205=""),'Timing Runs'!$M$6:$M$205)))</f>
        <v/>
      </c>
      <c r="N8" s="12" t="str">
        <f t="array" ref="N8">IF(SUMPRODUCT(('Timing Runs'!$B$6:$B$205=$A8)*ISNUMBER('Timing Runs'!$M$6:$M$205)*('Timing Runs'!$N$6:$N$205="Delivered")*('Timing Runs'!$O$6:$O$205=""))=0,"",MAX(IF(('Timing Runs'!$B$6:$B$205=$A8)*ISNUMBER('Timing Runs'!$M$6:$M$205)*('Timing Runs'!$N$6:$N$205="Delivered")*('Timing Runs'!$O$6:$O$205=""),'Timing Runs'!$M$6:$M$205)))</f>
        <v/>
      </c>
    </row>
    <row r="9" spans="1:14" ht="45" customHeight="1">
      <c r="A9" s="1" t="s">
        <v>40</v>
      </c>
      <c r="B9" s="1" t="s">
        <v>42</v>
      </c>
      <c r="C9" s="6">
        <f>COUNTIFS('Timing Runs'!$B$6:$B$205,$A9,'Timing Runs'!$N$6:$N$205,"Delivered")+COUNTIFS('Timing Runs'!$B$6:$B$205,$A9,'Timing Runs'!$N$6:$N$205,"Received; receipt pending")+COUNTIFS('Timing Runs'!$B$6:$B$205,$A9,'Timing Runs'!$N$6:$N$205,"Failed")+COUNTIFS('Timing Runs'!$B$6:$B$205,$A9,'Timing Runs'!$N$6:$N$205,"Expired")</f>
        <v>0</v>
      </c>
      <c r="D9" s="6">
        <f>COUNTIFS('Timing Runs'!$B$6:$B$205,$A9,'Timing Runs'!$N$6:$N$205,"Delivered")+COUNTIFS('Timing Runs'!$B$6:$B$205,$A9,'Timing Runs'!$N$6:$N$205,"Received; receipt pending")</f>
        <v>0</v>
      </c>
      <c r="E9" s="6">
        <f>COUNTIFS('Timing Runs'!$B$6:$B$205,$A9,'Timing Runs'!$N$6:$N$205,"Failed")</f>
        <v>0</v>
      </c>
      <c r="F9" s="6">
        <f>COUNTIFS('Timing Runs'!$B$6:$B$205,$A9,'Timing Runs'!$N$6:$N$205,"Expired")</f>
        <v>0</v>
      </c>
      <c r="G9" s="6">
        <f>COUNTIFS('Timing Runs'!$B$6:$B$205,$A9,'Timing Runs'!$N$6:$N$205,"Blocked")</f>
        <v>0</v>
      </c>
      <c r="H9" s="7">
        <f>IF(C9=0,"",D9/C9)</f>
        <v/>
      </c>
      <c r="I9" s="12" t="str">
        <f t="array" ref="I9">IF(SUMPRODUCT(('Timing Runs'!$B$6:$B$205=$A9)*ISNUMBER('Timing Runs'!$L$6:$L$205)*(('Timing Runs'!$N$6:$N$205="Delivered")+('Timing Runs'!$N$6:$N$205="Received; receipt pending"))*('Timing Runs'!$O$6:$O$205=""))=0,"",MIN(IF(('Timing Runs'!$B$6:$B$205=$A9)*ISNUMBER('Timing Runs'!$L$6:$L$205)*(('Timing Runs'!$N$6:$N$205="Delivered")+('Timing Runs'!$N$6:$N$205="Received; receipt pending"))*('Timing Runs'!$O$6:$O$205=""),'Timing Runs'!$L$6:$L$205)))</f>
        <v/>
      </c>
      <c r="J9" s="12" t="str">
        <f t="array" ref="J9">IF(SUMPRODUCT(('Timing Runs'!$B$6:$B$205=$A9)*ISNUMBER('Timing Runs'!$L$6:$L$205)*(('Timing Runs'!$N$6:$N$205="Delivered")+('Timing Runs'!$N$6:$N$205="Received; receipt pending"))*('Timing Runs'!$O$6:$O$205=""))=0,"",MEDIAN(IF(('Timing Runs'!$B$6:$B$205=$A9)*ISNUMBER('Timing Runs'!$L$6:$L$205)*(('Timing Runs'!$N$6:$N$205="Delivered")+('Timing Runs'!$N$6:$N$205="Received; receipt pending"))*('Timing Runs'!$O$6:$O$205=""),'Timing Runs'!$L$6:$L$205)))</f>
        <v/>
      </c>
      <c r="K9" s="12" t="str">
        <f t="array" ref="K9">IF(SUMPRODUCT(('Timing Runs'!$B$6:$B$205=$A9)*ISNUMBER('Timing Runs'!$L$6:$L$205)*(('Timing Runs'!$N$6:$N$205="Delivered")+('Timing Runs'!$N$6:$N$205="Received; receipt pending"))*('Timing Runs'!$O$6:$O$205=""))=0,"",MAX(IF(('Timing Runs'!$B$6:$B$205=$A9)*ISNUMBER('Timing Runs'!$L$6:$L$205)*(('Timing Runs'!$N$6:$N$205="Delivered")+('Timing Runs'!$N$6:$N$205="Received; receipt pending"))*('Timing Runs'!$O$6:$O$205=""),'Timing Runs'!$L$6:$L$205)))</f>
        <v/>
      </c>
      <c r="L9" s="12" t="str">
        <f t="array" ref="L9">IF(SUMPRODUCT(('Timing Runs'!$B$6:$B$205=$A9)*ISNUMBER('Timing Runs'!$M$6:$M$205)*('Timing Runs'!$N$6:$N$205="Delivered")*('Timing Runs'!$O$6:$O$205=""))=0,"",MIN(IF(('Timing Runs'!$B$6:$B$205=$A9)*ISNUMBER('Timing Runs'!$M$6:$M$205)*('Timing Runs'!$N$6:$N$205="Delivered")*('Timing Runs'!$O$6:$O$205=""),'Timing Runs'!$M$6:$M$205)))</f>
        <v/>
      </c>
      <c r="M9" s="12" t="str">
        <f t="array" ref="M9">IF(SUMPRODUCT(('Timing Runs'!$B$6:$B$205=$A9)*ISNUMBER('Timing Runs'!$M$6:$M$205)*('Timing Runs'!$N$6:$N$205="Delivered")*('Timing Runs'!$O$6:$O$205=""))=0,"",MEDIAN(IF(('Timing Runs'!$B$6:$B$205=$A9)*ISNUMBER('Timing Runs'!$M$6:$M$205)*('Timing Runs'!$N$6:$N$205="Delivered")*('Timing Runs'!$O$6:$O$205=""),'Timing Runs'!$M$6:$M$205)))</f>
        <v/>
      </c>
      <c r="N9" s="12" t="str">
        <f t="array" ref="N9">IF(SUMPRODUCT(('Timing Runs'!$B$6:$B$205=$A9)*ISNUMBER('Timing Runs'!$M$6:$M$205)*('Timing Runs'!$N$6:$N$205="Delivered")*('Timing Runs'!$O$6:$O$205=""))=0,"",MAX(IF(('Timing Runs'!$B$6:$B$205=$A9)*ISNUMBER('Timing Runs'!$M$6:$M$205)*('Timing Runs'!$N$6:$N$205="Delivered")*('Timing Runs'!$O$6:$O$205=""),'Timing Runs'!$M$6:$M$205)))</f>
        <v/>
      </c>
    </row>
    <row r="10" spans="1:14" ht="45" customHeight="1">
      <c r="A10" s="1" t="s">
        <v>47</v>
      </c>
      <c r="B10" s="1" t="s">
        <v>49</v>
      </c>
      <c r="C10" s="6">
        <f>COUNTIFS('Timing Runs'!$B$6:$B$205,$A10,'Timing Runs'!$N$6:$N$205,"Delivered")+COUNTIFS('Timing Runs'!$B$6:$B$205,$A10,'Timing Runs'!$N$6:$N$205,"Received; receipt pending")+COUNTIFS('Timing Runs'!$B$6:$B$205,$A10,'Timing Runs'!$N$6:$N$205,"Failed")+COUNTIFS('Timing Runs'!$B$6:$B$205,$A10,'Timing Runs'!$N$6:$N$205,"Expired")</f>
        <v>0</v>
      </c>
      <c r="D10" s="6">
        <f>COUNTIFS('Timing Runs'!$B$6:$B$205,$A10,'Timing Runs'!$N$6:$N$205,"Delivered")+COUNTIFS('Timing Runs'!$B$6:$B$205,$A10,'Timing Runs'!$N$6:$N$205,"Received; receipt pending")</f>
        <v>0</v>
      </c>
      <c r="E10" s="6">
        <f>COUNTIFS('Timing Runs'!$B$6:$B$205,$A10,'Timing Runs'!$N$6:$N$205,"Failed")</f>
        <v>0</v>
      </c>
      <c r="F10" s="6">
        <f>COUNTIFS('Timing Runs'!$B$6:$B$205,$A10,'Timing Runs'!$N$6:$N$205,"Expired")</f>
        <v>0</v>
      </c>
      <c r="G10" s="6">
        <f>COUNTIFS('Timing Runs'!$B$6:$B$205,$A10,'Timing Runs'!$N$6:$N$205,"Blocked")</f>
        <v>0</v>
      </c>
      <c r="H10" s="7">
        <f>IF(C10=0,"",D10/C10)</f>
        <v/>
      </c>
      <c r="I10" s="12" t="str">
        <f t="array" ref="I10">IF(SUMPRODUCT(('Timing Runs'!$B$6:$B$205=$A10)*ISNUMBER('Timing Runs'!$L$6:$L$205)*(('Timing Runs'!$N$6:$N$205="Delivered")+('Timing Runs'!$N$6:$N$205="Received; receipt pending"))*('Timing Runs'!$O$6:$O$205=""))=0,"",MIN(IF(('Timing Runs'!$B$6:$B$205=$A10)*ISNUMBER('Timing Runs'!$L$6:$L$205)*(('Timing Runs'!$N$6:$N$205="Delivered")+('Timing Runs'!$N$6:$N$205="Received; receipt pending"))*('Timing Runs'!$O$6:$O$205=""),'Timing Runs'!$L$6:$L$205)))</f>
        <v/>
      </c>
      <c r="J10" s="12" t="str">
        <f t="array" ref="J10">IF(SUMPRODUCT(('Timing Runs'!$B$6:$B$205=$A10)*ISNUMBER('Timing Runs'!$L$6:$L$205)*(('Timing Runs'!$N$6:$N$205="Delivered")+('Timing Runs'!$N$6:$N$205="Received; receipt pending"))*('Timing Runs'!$O$6:$O$205=""))=0,"",MEDIAN(IF(('Timing Runs'!$B$6:$B$205=$A10)*ISNUMBER('Timing Runs'!$L$6:$L$205)*(('Timing Runs'!$N$6:$N$205="Delivered")+('Timing Runs'!$N$6:$N$205="Received; receipt pending"))*('Timing Runs'!$O$6:$O$205=""),'Timing Runs'!$L$6:$L$205)))</f>
        <v/>
      </c>
      <c r="K10" s="12" t="str">
        <f t="array" ref="K10">IF(SUMPRODUCT(('Timing Runs'!$B$6:$B$205=$A10)*ISNUMBER('Timing Runs'!$L$6:$L$205)*(('Timing Runs'!$N$6:$N$205="Delivered")+('Timing Runs'!$N$6:$N$205="Received; receipt pending"))*('Timing Runs'!$O$6:$O$205=""))=0,"",MAX(IF(('Timing Runs'!$B$6:$B$205=$A10)*ISNUMBER('Timing Runs'!$L$6:$L$205)*(('Timing Runs'!$N$6:$N$205="Delivered")+('Timing Runs'!$N$6:$N$205="Received; receipt pending"))*('Timing Runs'!$O$6:$O$205=""),'Timing Runs'!$L$6:$L$205)))</f>
        <v/>
      </c>
      <c r="L10" s="12" t="str">
        <f t="array" ref="L10">IF(SUMPRODUCT(('Timing Runs'!$B$6:$B$205=$A10)*ISNUMBER('Timing Runs'!$M$6:$M$205)*('Timing Runs'!$N$6:$N$205="Delivered")*('Timing Runs'!$O$6:$O$205=""))=0,"",MIN(IF(('Timing Runs'!$B$6:$B$205=$A10)*ISNUMBER('Timing Runs'!$M$6:$M$205)*('Timing Runs'!$N$6:$N$205="Delivered")*('Timing Runs'!$O$6:$O$205=""),'Timing Runs'!$M$6:$M$205)))</f>
        <v/>
      </c>
      <c r="M10" s="12" t="str">
        <f t="array" ref="M10">IF(SUMPRODUCT(('Timing Runs'!$B$6:$B$205=$A10)*ISNUMBER('Timing Runs'!$M$6:$M$205)*('Timing Runs'!$N$6:$N$205="Delivered")*('Timing Runs'!$O$6:$O$205=""))=0,"",MEDIAN(IF(('Timing Runs'!$B$6:$B$205=$A10)*ISNUMBER('Timing Runs'!$M$6:$M$205)*('Timing Runs'!$N$6:$N$205="Delivered")*('Timing Runs'!$O$6:$O$205=""),'Timing Runs'!$M$6:$M$205)))</f>
        <v/>
      </c>
      <c r="N10" s="12" t="str">
        <f t="array" ref="N10">IF(SUMPRODUCT(('Timing Runs'!$B$6:$B$205=$A10)*ISNUMBER('Timing Runs'!$M$6:$M$205)*('Timing Runs'!$N$6:$N$205="Delivered")*('Timing Runs'!$O$6:$O$205=""))=0,"",MAX(IF(('Timing Runs'!$B$6:$B$205=$A10)*ISNUMBER('Timing Runs'!$M$6:$M$205)*('Timing Runs'!$N$6:$N$205="Delivered")*('Timing Runs'!$O$6:$O$205=""),'Timing Runs'!$M$6:$M$205)))</f>
        <v/>
      </c>
    </row>
    <row r="11" spans="1:14" ht="45" customHeight="1">
      <c r="A11" s="1" t="s">
        <v>54</v>
      </c>
      <c r="B11" s="1" t="s">
        <v>56</v>
      </c>
      <c r="C11" s="6">
        <f>COUNTIFS('Timing Runs'!$B$6:$B$205,$A11,'Timing Runs'!$N$6:$N$205,"Delivered")+COUNTIFS('Timing Runs'!$B$6:$B$205,$A11,'Timing Runs'!$N$6:$N$205,"Received; receipt pending")+COUNTIFS('Timing Runs'!$B$6:$B$205,$A11,'Timing Runs'!$N$6:$N$205,"Failed")+COUNTIFS('Timing Runs'!$B$6:$B$205,$A11,'Timing Runs'!$N$6:$N$205,"Expired")</f>
        <v>0</v>
      </c>
      <c r="D11" s="6">
        <f>COUNTIFS('Timing Runs'!$B$6:$B$205,$A11,'Timing Runs'!$N$6:$N$205,"Delivered")+COUNTIFS('Timing Runs'!$B$6:$B$205,$A11,'Timing Runs'!$N$6:$N$205,"Received; receipt pending")</f>
        <v>0</v>
      </c>
      <c r="E11" s="6">
        <f>COUNTIFS('Timing Runs'!$B$6:$B$205,$A11,'Timing Runs'!$N$6:$N$205,"Failed")</f>
        <v>0</v>
      </c>
      <c r="F11" s="6">
        <f>COUNTIFS('Timing Runs'!$B$6:$B$205,$A11,'Timing Runs'!$N$6:$N$205,"Expired")</f>
        <v>0</v>
      </c>
      <c r="G11" s="6">
        <f>COUNTIFS('Timing Runs'!$B$6:$B$205,$A11,'Timing Runs'!$N$6:$N$205,"Blocked")</f>
        <v>0</v>
      </c>
      <c r="H11" s="7">
        <f>IF(C11=0,"",D11/C11)</f>
        <v/>
      </c>
      <c r="I11" s="12" t="str">
        <f t="array" ref="I11">IF(SUMPRODUCT(('Timing Runs'!$B$6:$B$205=$A11)*ISNUMBER('Timing Runs'!$L$6:$L$205)*(('Timing Runs'!$N$6:$N$205="Delivered")+('Timing Runs'!$N$6:$N$205="Received; receipt pending"))*('Timing Runs'!$O$6:$O$205=""))=0,"",MIN(IF(('Timing Runs'!$B$6:$B$205=$A11)*ISNUMBER('Timing Runs'!$L$6:$L$205)*(('Timing Runs'!$N$6:$N$205="Delivered")+('Timing Runs'!$N$6:$N$205="Received; receipt pending"))*('Timing Runs'!$O$6:$O$205=""),'Timing Runs'!$L$6:$L$205)))</f>
        <v/>
      </c>
      <c r="J11" s="12" t="str">
        <f t="array" ref="J11">IF(SUMPRODUCT(('Timing Runs'!$B$6:$B$205=$A11)*ISNUMBER('Timing Runs'!$L$6:$L$205)*(('Timing Runs'!$N$6:$N$205="Delivered")+('Timing Runs'!$N$6:$N$205="Received; receipt pending"))*('Timing Runs'!$O$6:$O$205=""))=0,"",MEDIAN(IF(('Timing Runs'!$B$6:$B$205=$A11)*ISNUMBER('Timing Runs'!$L$6:$L$205)*(('Timing Runs'!$N$6:$N$205="Delivered")+('Timing Runs'!$N$6:$N$205="Received; receipt pending"))*('Timing Runs'!$O$6:$O$205=""),'Timing Runs'!$L$6:$L$205)))</f>
        <v/>
      </c>
      <c r="K11" s="12" t="str">
        <f t="array" ref="K11">IF(SUMPRODUCT(('Timing Runs'!$B$6:$B$205=$A11)*ISNUMBER('Timing Runs'!$L$6:$L$205)*(('Timing Runs'!$N$6:$N$205="Delivered")+('Timing Runs'!$N$6:$N$205="Received; receipt pending"))*('Timing Runs'!$O$6:$O$205=""))=0,"",MAX(IF(('Timing Runs'!$B$6:$B$205=$A11)*ISNUMBER('Timing Runs'!$L$6:$L$205)*(('Timing Runs'!$N$6:$N$205="Delivered")+('Timing Runs'!$N$6:$N$205="Received; receipt pending"))*('Timing Runs'!$O$6:$O$205=""),'Timing Runs'!$L$6:$L$205)))</f>
        <v/>
      </c>
      <c r="L11" s="12" t="str">
        <f t="array" ref="L11">IF(SUMPRODUCT(('Timing Runs'!$B$6:$B$205=$A11)*ISNUMBER('Timing Runs'!$M$6:$M$205)*('Timing Runs'!$N$6:$N$205="Delivered")*('Timing Runs'!$O$6:$O$205=""))=0,"",MIN(IF(('Timing Runs'!$B$6:$B$205=$A11)*ISNUMBER('Timing Runs'!$M$6:$M$205)*('Timing Runs'!$N$6:$N$205="Delivered")*('Timing Runs'!$O$6:$O$205=""),'Timing Runs'!$M$6:$M$205)))</f>
        <v/>
      </c>
      <c r="M11" s="12" t="str">
        <f t="array" ref="M11">IF(SUMPRODUCT(('Timing Runs'!$B$6:$B$205=$A11)*ISNUMBER('Timing Runs'!$M$6:$M$205)*('Timing Runs'!$N$6:$N$205="Delivered")*('Timing Runs'!$O$6:$O$205=""))=0,"",MEDIAN(IF(('Timing Runs'!$B$6:$B$205=$A11)*ISNUMBER('Timing Runs'!$M$6:$M$205)*('Timing Runs'!$N$6:$N$205="Delivered")*('Timing Runs'!$O$6:$O$205=""),'Timing Runs'!$M$6:$M$205)))</f>
        <v/>
      </c>
      <c r="N11" s="12" t="str">
        <f t="array" ref="N11">IF(SUMPRODUCT(('Timing Runs'!$B$6:$B$205=$A11)*ISNUMBER('Timing Runs'!$M$6:$M$205)*('Timing Runs'!$N$6:$N$205="Delivered")*('Timing Runs'!$O$6:$O$205=""))=0,"",MAX(IF(('Timing Runs'!$B$6:$B$205=$A11)*ISNUMBER('Timing Runs'!$M$6:$M$205)*('Timing Runs'!$N$6:$N$205="Delivered")*('Timing Runs'!$O$6:$O$205=""),'Timing Runs'!$M$6:$M$205)))</f>
        <v/>
      </c>
    </row>
    <row r="12" spans="1:14" ht="45" customHeight="1">
      <c r="A12" s="1" t="s">
        <v>61</v>
      </c>
      <c r="B12" s="1" t="s">
        <v>62</v>
      </c>
      <c r="C12" s="6">
        <f>COUNTIFS('Timing Runs'!$B$6:$B$205,$A12,'Timing Runs'!$N$6:$N$205,"Delivered")+COUNTIFS('Timing Runs'!$B$6:$B$205,$A12,'Timing Runs'!$N$6:$N$205,"Received; receipt pending")+COUNTIFS('Timing Runs'!$B$6:$B$205,$A12,'Timing Runs'!$N$6:$N$205,"Failed")+COUNTIFS('Timing Runs'!$B$6:$B$205,$A12,'Timing Runs'!$N$6:$N$205,"Expired")</f>
        <v>0</v>
      </c>
      <c r="D12" s="6">
        <f>COUNTIFS('Timing Runs'!$B$6:$B$205,$A12,'Timing Runs'!$N$6:$N$205,"Delivered")+COUNTIFS('Timing Runs'!$B$6:$B$205,$A12,'Timing Runs'!$N$6:$N$205,"Received; receipt pending")</f>
        <v>0</v>
      </c>
      <c r="E12" s="6">
        <f>COUNTIFS('Timing Runs'!$B$6:$B$205,$A12,'Timing Runs'!$N$6:$N$205,"Failed")</f>
        <v>0</v>
      </c>
      <c r="F12" s="6">
        <f>COUNTIFS('Timing Runs'!$B$6:$B$205,$A12,'Timing Runs'!$N$6:$N$205,"Expired")</f>
        <v>0</v>
      </c>
      <c r="G12" s="6">
        <f>COUNTIFS('Timing Runs'!$B$6:$B$205,$A12,'Timing Runs'!$N$6:$N$205,"Blocked")</f>
        <v>0</v>
      </c>
      <c r="H12" s="7">
        <f>IF(C12=0,"",D12/C12)</f>
        <v/>
      </c>
      <c r="I12" s="12" t="str">
        <f t="array" ref="I12">IF(SUMPRODUCT(('Timing Runs'!$B$6:$B$205=$A12)*ISNUMBER('Timing Runs'!$L$6:$L$205)*(('Timing Runs'!$N$6:$N$205="Delivered")+('Timing Runs'!$N$6:$N$205="Received; receipt pending"))*('Timing Runs'!$O$6:$O$205=""))=0,"",MIN(IF(('Timing Runs'!$B$6:$B$205=$A12)*ISNUMBER('Timing Runs'!$L$6:$L$205)*(('Timing Runs'!$N$6:$N$205="Delivered")+('Timing Runs'!$N$6:$N$205="Received; receipt pending"))*('Timing Runs'!$O$6:$O$205=""),'Timing Runs'!$L$6:$L$205)))</f>
        <v/>
      </c>
      <c r="J12" s="12" t="str">
        <f t="array" ref="J12">IF(SUMPRODUCT(('Timing Runs'!$B$6:$B$205=$A12)*ISNUMBER('Timing Runs'!$L$6:$L$205)*(('Timing Runs'!$N$6:$N$205="Delivered")+('Timing Runs'!$N$6:$N$205="Received; receipt pending"))*('Timing Runs'!$O$6:$O$205=""))=0,"",MEDIAN(IF(('Timing Runs'!$B$6:$B$205=$A12)*ISNUMBER('Timing Runs'!$L$6:$L$205)*(('Timing Runs'!$N$6:$N$205="Delivered")+('Timing Runs'!$N$6:$N$205="Received; receipt pending"))*('Timing Runs'!$O$6:$O$205=""),'Timing Runs'!$L$6:$L$205)))</f>
        <v/>
      </c>
      <c r="K12" s="12" t="str">
        <f t="array" ref="K12">IF(SUMPRODUCT(('Timing Runs'!$B$6:$B$205=$A12)*ISNUMBER('Timing Runs'!$L$6:$L$205)*(('Timing Runs'!$N$6:$N$205="Delivered")+('Timing Runs'!$N$6:$N$205="Received; receipt pending"))*('Timing Runs'!$O$6:$O$205=""))=0,"",MAX(IF(('Timing Runs'!$B$6:$B$205=$A12)*ISNUMBER('Timing Runs'!$L$6:$L$205)*(('Timing Runs'!$N$6:$N$205="Delivered")+('Timing Runs'!$N$6:$N$205="Received; receipt pending"))*('Timing Runs'!$O$6:$O$205=""),'Timing Runs'!$L$6:$L$205)))</f>
        <v/>
      </c>
      <c r="L12" s="12" t="str">
        <f t="array" ref="L12">IF(SUMPRODUCT(('Timing Runs'!$B$6:$B$205=$A12)*ISNUMBER('Timing Runs'!$M$6:$M$205)*('Timing Runs'!$N$6:$N$205="Delivered")*('Timing Runs'!$O$6:$O$205=""))=0,"",MIN(IF(('Timing Runs'!$B$6:$B$205=$A12)*ISNUMBER('Timing Runs'!$M$6:$M$205)*('Timing Runs'!$N$6:$N$205="Delivered")*('Timing Runs'!$O$6:$O$205=""),'Timing Runs'!$M$6:$M$205)))</f>
        <v/>
      </c>
      <c r="M12" s="12" t="str">
        <f t="array" ref="M12">IF(SUMPRODUCT(('Timing Runs'!$B$6:$B$205=$A12)*ISNUMBER('Timing Runs'!$M$6:$M$205)*('Timing Runs'!$N$6:$N$205="Delivered")*('Timing Runs'!$O$6:$O$205=""))=0,"",MEDIAN(IF(('Timing Runs'!$B$6:$B$205=$A12)*ISNUMBER('Timing Runs'!$M$6:$M$205)*('Timing Runs'!$N$6:$N$205="Delivered")*('Timing Runs'!$O$6:$O$205=""),'Timing Runs'!$M$6:$M$205)))</f>
        <v/>
      </c>
      <c r="N12" s="12" t="str">
        <f t="array" ref="N12">IF(SUMPRODUCT(('Timing Runs'!$B$6:$B$205=$A12)*ISNUMBER('Timing Runs'!$M$6:$M$205)*('Timing Runs'!$N$6:$N$205="Delivered")*('Timing Runs'!$O$6:$O$205=""))=0,"",MAX(IF(('Timing Runs'!$B$6:$B$205=$A12)*ISNUMBER('Timing Runs'!$M$6:$M$205)*('Timing Runs'!$N$6:$N$205="Delivered")*('Timing Runs'!$O$6:$O$205=""),'Timing Runs'!$M$6:$M$205)))</f>
        <v/>
      </c>
    </row>
    <row r="13" spans="1:14" ht="45" customHeight="1">
      <c r="A13" s="1" t="s">
        <v>67</v>
      </c>
      <c r="B13" s="1" t="s">
        <v>69</v>
      </c>
      <c r="C13" s="6">
        <f>COUNTIFS('Timing Runs'!$B$6:$B$205,$A13,'Timing Runs'!$N$6:$N$205,"Delivered")+COUNTIFS('Timing Runs'!$B$6:$B$205,$A13,'Timing Runs'!$N$6:$N$205,"Received; receipt pending")+COUNTIFS('Timing Runs'!$B$6:$B$205,$A13,'Timing Runs'!$N$6:$N$205,"Failed")+COUNTIFS('Timing Runs'!$B$6:$B$205,$A13,'Timing Runs'!$N$6:$N$205,"Expired")</f>
        <v>0</v>
      </c>
      <c r="D13" s="6">
        <f>COUNTIFS('Timing Runs'!$B$6:$B$205,$A13,'Timing Runs'!$N$6:$N$205,"Delivered")+COUNTIFS('Timing Runs'!$B$6:$B$205,$A13,'Timing Runs'!$N$6:$N$205,"Received; receipt pending")</f>
        <v>0</v>
      </c>
      <c r="E13" s="6">
        <f>COUNTIFS('Timing Runs'!$B$6:$B$205,$A13,'Timing Runs'!$N$6:$N$205,"Failed")</f>
        <v>0</v>
      </c>
      <c r="F13" s="6">
        <f>COUNTIFS('Timing Runs'!$B$6:$B$205,$A13,'Timing Runs'!$N$6:$N$205,"Expired")</f>
        <v>0</v>
      </c>
      <c r="G13" s="6">
        <f>COUNTIFS('Timing Runs'!$B$6:$B$205,$A13,'Timing Runs'!$N$6:$N$205,"Blocked")</f>
        <v>0</v>
      </c>
      <c r="H13" s="7">
        <f>IF(C13=0,"",D13/C13)</f>
        <v/>
      </c>
      <c r="I13" s="12" t="str">
        <f t="array" ref="I13">IF(SUMPRODUCT(('Timing Runs'!$B$6:$B$205=$A13)*ISNUMBER('Timing Runs'!$L$6:$L$205)*(('Timing Runs'!$N$6:$N$205="Delivered")+('Timing Runs'!$N$6:$N$205="Received; receipt pending"))*('Timing Runs'!$O$6:$O$205=""))=0,"",MIN(IF(('Timing Runs'!$B$6:$B$205=$A13)*ISNUMBER('Timing Runs'!$L$6:$L$205)*(('Timing Runs'!$N$6:$N$205="Delivered")+('Timing Runs'!$N$6:$N$205="Received; receipt pending"))*('Timing Runs'!$O$6:$O$205=""),'Timing Runs'!$L$6:$L$205)))</f>
        <v/>
      </c>
      <c r="J13" s="12" t="str">
        <f t="array" ref="J13">IF(SUMPRODUCT(('Timing Runs'!$B$6:$B$205=$A13)*ISNUMBER('Timing Runs'!$L$6:$L$205)*(('Timing Runs'!$N$6:$N$205="Delivered")+('Timing Runs'!$N$6:$N$205="Received; receipt pending"))*('Timing Runs'!$O$6:$O$205=""))=0,"",MEDIAN(IF(('Timing Runs'!$B$6:$B$205=$A13)*ISNUMBER('Timing Runs'!$L$6:$L$205)*(('Timing Runs'!$N$6:$N$205="Delivered")+('Timing Runs'!$N$6:$N$205="Received; receipt pending"))*('Timing Runs'!$O$6:$O$205=""),'Timing Runs'!$L$6:$L$205)))</f>
        <v/>
      </c>
      <c r="K13" s="12" t="str">
        <f t="array" ref="K13">IF(SUMPRODUCT(('Timing Runs'!$B$6:$B$205=$A13)*ISNUMBER('Timing Runs'!$L$6:$L$205)*(('Timing Runs'!$N$6:$N$205="Delivered")+('Timing Runs'!$N$6:$N$205="Received; receipt pending"))*('Timing Runs'!$O$6:$O$205=""))=0,"",MAX(IF(('Timing Runs'!$B$6:$B$205=$A13)*ISNUMBER('Timing Runs'!$L$6:$L$205)*(('Timing Runs'!$N$6:$N$205="Delivered")+('Timing Runs'!$N$6:$N$205="Received; receipt pending"))*('Timing Runs'!$O$6:$O$205=""),'Timing Runs'!$L$6:$L$205)))</f>
        <v/>
      </c>
      <c r="L13" s="12" t="str">
        <f t="array" ref="L13">IF(SUMPRODUCT(('Timing Runs'!$B$6:$B$205=$A13)*ISNUMBER('Timing Runs'!$M$6:$M$205)*('Timing Runs'!$N$6:$N$205="Delivered")*('Timing Runs'!$O$6:$O$205=""))=0,"",MIN(IF(('Timing Runs'!$B$6:$B$205=$A13)*ISNUMBER('Timing Runs'!$M$6:$M$205)*('Timing Runs'!$N$6:$N$205="Delivered")*('Timing Runs'!$O$6:$O$205=""),'Timing Runs'!$M$6:$M$205)))</f>
        <v/>
      </c>
      <c r="M13" s="12" t="str">
        <f t="array" ref="M13">IF(SUMPRODUCT(('Timing Runs'!$B$6:$B$205=$A13)*ISNUMBER('Timing Runs'!$M$6:$M$205)*('Timing Runs'!$N$6:$N$205="Delivered")*('Timing Runs'!$O$6:$O$205=""))=0,"",MEDIAN(IF(('Timing Runs'!$B$6:$B$205=$A13)*ISNUMBER('Timing Runs'!$M$6:$M$205)*('Timing Runs'!$N$6:$N$205="Delivered")*('Timing Runs'!$O$6:$O$205=""),'Timing Runs'!$M$6:$M$205)))</f>
        <v/>
      </c>
      <c r="N13" s="12" t="str">
        <f t="array" ref="N13">IF(SUMPRODUCT(('Timing Runs'!$B$6:$B$205=$A13)*ISNUMBER('Timing Runs'!$M$6:$M$205)*('Timing Runs'!$N$6:$N$205="Delivered")*('Timing Runs'!$O$6:$O$205=""))=0,"",MAX(IF(('Timing Runs'!$B$6:$B$205=$A13)*ISNUMBER('Timing Runs'!$M$6:$M$205)*('Timing Runs'!$N$6:$N$205="Delivered")*('Timing Runs'!$O$6:$O$205=""),'Timing Runs'!$M$6:$M$205)))</f>
        <v/>
      </c>
    </row>
    <row r="14" spans="1:14" ht="45" customHeight="1">
      <c r="A14" s="1" t="s">
        <v>74</v>
      </c>
      <c r="B14" s="1" t="s">
        <v>76</v>
      </c>
      <c r="C14" s="6">
        <f>COUNTIFS('Timing Runs'!$B$6:$B$205,$A14,'Timing Runs'!$N$6:$N$205,"Delivered")+COUNTIFS('Timing Runs'!$B$6:$B$205,$A14,'Timing Runs'!$N$6:$N$205,"Received; receipt pending")+COUNTIFS('Timing Runs'!$B$6:$B$205,$A14,'Timing Runs'!$N$6:$N$205,"Failed")+COUNTIFS('Timing Runs'!$B$6:$B$205,$A14,'Timing Runs'!$N$6:$N$205,"Expired")</f>
        <v>0</v>
      </c>
      <c r="D14" s="6">
        <f>COUNTIFS('Timing Runs'!$B$6:$B$205,$A14,'Timing Runs'!$N$6:$N$205,"Delivered")+COUNTIFS('Timing Runs'!$B$6:$B$205,$A14,'Timing Runs'!$N$6:$N$205,"Received; receipt pending")</f>
        <v>0</v>
      </c>
      <c r="E14" s="6">
        <f>COUNTIFS('Timing Runs'!$B$6:$B$205,$A14,'Timing Runs'!$N$6:$N$205,"Failed")</f>
        <v>0</v>
      </c>
      <c r="F14" s="6">
        <f>COUNTIFS('Timing Runs'!$B$6:$B$205,$A14,'Timing Runs'!$N$6:$N$205,"Expired")</f>
        <v>0</v>
      </c>
      <c r="G14" s="6">
        <f>COUNTIFS('Timing Runs'!$B$6:$B$205,$A14,'Timing Runs'!$N$6:$N$205,"Blocked")</f>
        <v>0</v>
      </c>
      <c r="H14" s="7">
        <f>IF(C14=0,"",D14/C14)</f>
        <v/>
      </c>
      <c r="I14" s="12" t="str">
        <f t="array" ref="I14">IF(SUMPRODUCT(('Timing Runs'!$B$6:$B$205=$A14)*ISNUMBER('Timing Runs'!$L$6:$L$205)*(('Timing Runs'!$N$6:$N$205="Delivered")+('Timing Runs'!$N$6:$N$205="Received; receipt pending"))*('Timing Runs'!$O$6:$O$205=""))=0,"",MIN(IF(('Timing Runs'!$B$6:$B$205=$A14)*ISNUMBER('Timing Runs'!$L$6:$L$205)*(('Timing Runs'!$N$6:$N$205="Delivered")+('Timing Runs'!$N$6:$N$205="Received; receipt pending"))*('Timing Runs'!$O$6:$O$205=""),'Timing Runs'!$L$6:$L$205)))</f>
        <v/>
      </c>
      <c r="J14" s="12" t="str">
        <f t="array" ref="J14">IF(SUMPRODUCT(('Timing Runs'!$B$6:$B$205=$A14)*ISNUMBER('Timing Runs'!$L$6:$L$205)*(('Timing Runs'!$N$6:$N$205="Delivered")+('Timing Runs'!$N$6:$N$205="Received; receipt pending"))*('Timing Runs'!$O$6:$O$205=""))=0,"",MEDIAN(IF(('Timing Runs'!$B$6:$B$205=$A14)*ISNUMBER('Timing Runs'!$L$6:$L$205)*(('Timing Runs'!$N$6:$N$205="Delivered")+('Timing Runs'!$N$6:$N$205="Received; receipt pending"))*('Timing Runs'!$O$6:$O$205=""),'Timing Runs'!$L$6:$L$205)))</f>
        <v/>
      </c>
      <c r="K14" s="12" t="str">
        <f t="array" ref="K14">IF(SUMPRODUCT(('Timing Runs'!$B$6:$B$205=$A14)*ISNUMBER('Timing Runs'!$L$6:$L$205)*(('Timing Runs'!$N$6:$N$205="Delivered")+('Timing Runs'!$N$6:$N$205="Received; receipt pending"))*('Timing Runs'!$O$6:$O$205=""))=0,"",MAX(IF(('Timing Runs'!$B$6:$B$205=$A14)*ISNUMBER('Timing Runs'!$L$6:$L$205)*(('Timing Runs'!$N$6:$N$205="Delivered")+('Timing Runs'!$N$6:$N$205="Received; receipt pending"))*('Timing Runs'!$O$6:$O$205=""),'Timing Runs'!$L$6:$L$205)))</f>
        <v/>
      </c>
      <c r="L14" s="12" t="str">
        <f t="array" ref="L14">IF(SUMPRODUCT(('Timing Runs'!$B$6:$B$205=$A14)*ISNUMBER('Timing Runs'!$M$6:$M$205)*('Timing Runs'!$N$6:$N$205="Delivered")*('Timing Runs'!$O$6:$O$205=""))=0,"",MIN(IF(('Timing Runs'!$B$6:$B$205=$A14)*ISNUMBER('Timing Runs'!$M$6:$M$205)*('Timing Runs'!$N$6:$N$205="Delivered")*('Timing Runs'!$O$6:$O$205=""),'Timing Runs'!$M$6:$M$205)))</f>
        <v/>
      </c>
      <c r="M14" s="12" t="str">
        <f t="array" ref="M14">IF(SUMPRODUCT(('Timing Runs'!$B$6:$B$205=$A14)*ISNUMBER('Timing Runs'!$M$6:$M$205)*('Timing Runs'!$N$6:$N$205="Delivered")*('Timing Runs'!$O$6:$O$205=""))=0,"",MEDIAN(IF(('Timing Runs'!$B$6:$B$205=$A14)*ISNUMBER('Timing Runs'!$M$6:$M$205)*('Timing Runs'!$N$6:$N$205="Delivered")*('Timing Runs'!$O$6:$O$205=""),'Timing Runs'!$M$6:$M$205)))</f>
        <v/>
      </c>
      <c r="N14" s="12" t="str">
        <f t="array" ref="N14">IF(SUMPRODUCT(('Timing Runs'!$B$6:$B$205=$A14)*ISNUMBER('Timing Runs'!$M$6:$M$205)*('Timing Runs'!$N$6:$N$205="Delivered")*('Timing Runs'!$O$6:$O$205=""))=0,"",MAX(IF(('Timing Runs'!$B$6:$B$205=$A14)*ISNUMBER('Timing Runs'!$M$6:$M$205)*('Timing Runs'!$N$6:$N$205="Delivered")*('Timing Runs'!$O$6:$O$205=""),'Timing Runs'!$M$6:$M$205)))</f>
        <v/>
      </c>
    </row>
    <row r="15" spans="1:14" ht="45" customHeight="1">
      <c r="A15" s="1" t="s">
        <v>81</v>
      </c>
      <c r="B15" s="1" t="s">
        <v>82</v>
      </c>
      <c r="C15" s="6">
        <f>COUNTIFS('Timing Runs'!$B$6:$B$205,$A15,'Timing Runs'!$N$6:$N$205,"Delivered")+COUNTIFS('Timing Runs'!$B$6:$B$205,$A15,'Timing Runs'!$N$6:$N$205,"Received; receipt pending")+COUNTIFS('Timing Runs'!$B$6:$B$205,$A15,'Timing Runs'!$N$6:$N$205,"Failed")+COUNTIFS('Timing Runs'!$B$6:$B$205,$A15,'Timing Runs'!$N$6:$N$205,"Expired")</f>
        <v>0</v>
      </c>
      <c r="D15" s="6">
        <f>COUNTIFS('Timing Runs'!$B$6:$B$205,$A15,'Timing Runs'!$N$6:$N$205,"Delivered")+COUNTIFS('Timing Runs'!$B$6:$B$205,$A15,'Timing Runs'!$N$6:$N$205,"Received; receipt pending")</f>
        <v>0</v>
      </c>
      <c r="E15" s="6">
        <f>COUNTIFS('Timing Runs'!$B$6:$B$205,$A15,'Timing Runs'!$N$6:$N$205,"Failed")</f>
        <v>0</v>
      </c>
      <c r="F15" s="6">
        <f>COUNTIFS('Timing Runs'!$B$6:$B$205,$A15,'Timing Runs'!$N$6:$N$205,"Expired")</f>
        <v>0</v>
      </c>
      <c r="G15" s="6">
        <f>COUNTIFS('Timing Runs'!$B$6:$B$205,$A15,'Timing Runs'!$N$6:$N$205,"Blocked")</f>
        <v>0</v>
      </c>
      <c r="H15" s="7">
        <f>IF(C15=0,"",D15/C15)</f>
        <v/>
      </c>
      <c r="I15" s="12" t="str">
        <f t="array" ref="I15">IF(SUMPRODUCT(('Timing Runs'!$B$6:$B$205=$A15)*ISNUMBER('Timing Runs'!$L$6:$L$205)*(('Timing Runs'!$N$6:$N$205="Delivered")+('Timing Runs'!$N$6:$N$205="Received; receipt pending"))*('Timing Runs'!$O$6:$O$205=""))=0,"",MIN(IF(('Timing Runs'!$B$6:$B$205=$A15)*ISNUMBER('Timing Runs'!$L$6:$L$205)*(('Timing Runs'!$N$6:$N$205="Delivered")+('Timing Runs'!$N$6:$N$205="Received; receipt pending"))*('Timing Runs'!$O$6:$O$205=""),'Timing Runs'!$L$6:$L$205)))</f>
        <v/>
      </c>
      <c r="J15" s="12" t="str">
        <f t="array" ref="J15">IF(SUMPRODUCT(('Timing Runs'!$B$6:$B$205=$A15)*ISNUMBER('Timing Runs'!$L$6:$L$205)*(('Timing Runs'!$N$6:$N$205="Delivered")+('Timing Runs'!$N$6:$N$205="Received; receipt pending"))*('Timing Runs'!$O$6:$O$205=""))=0,"",MEDIAN(IF(('Timing Runs'!$B$6:$B$205=$A15)*ISNUMBER('Timing Runs'!$L$6:$L$205)*(('Timing Runs'!$N$6:$N$205="Delivered")+('Timing Runs'!$N$6:$N$205="Received; receipt pending"))*('Timing Runs'!$O$6:$O$205=""),'Timing Runs'!$L$6:$L$205)))</f>
        <v/>
      </c>
      <c r="K15" s="12" t="str">
        <f t="array" ref="K15">IF(SUMPRODUCT(('Timing Runs'!$B$6:$B$205=$A15)*ISNUMBER('Timing Runs'!$L$6:$L$205)*(('Timing Runs'!$N$6:$N$205="Delivered")+('Timing Runs'!$N$6:$N$205="Received; receipt pending"))*('Timing Runs'!$O$6:$O$205=""))=0,"",MAX(IF(('Timing Runs'!$B$6:$B$205=$A15)*ISNUMBER('Timing Runs'!$L$6:$L$205)*(('Timing Runs'!$N$6:$N$205="Delivered")+('Timing Runs'!$N$6:$N$205="Received; receipt pending"))*('Timing Runs'!$O$6:$O$205=""),'Timing Runs'!$L$6:$L$205)))</f>
        <v/>
      </c>
      <c r="L15" s="12" t="str">
        <f t="array" ref="L15">IF(SUMPRODUCT(('Timing Runs'!$B$6:$B$205=$A15)*ISNUMBER('Timing Runs'!$M$6:$M$205)*('Timing Runs'!$N$6:$N$205="Delivered")*('Timing Runs'!$O$6:$O$205=""))=0,"",MIN(IF(('Timing Runs'!$B$6:$B$205=$A15)*ISNUMBER('Timing Runs'!$M$6:$M$205)*('Timing Runs'!$N$6:$N$205="Delivered")*('Timing Runs'!$O$6:$O$205=""),'Timing Runs'!$M$6:$M$205)))</f>
        <v/>
      </c>
      <c r="M15" s="12" t="str">
        <f t="array" ref="M15">IF(SUMPRODUCT(('Timing Runs'!$B$6:$B$205=$A15)*ISNUMBER('Timing Runs'!$M$6:$M$205)*('Timing Runs'!$N$6:$N$205="Delivered")*('Timing Runs'!$O$6:$O$205=""))=0,"",MEDIAN(IF(('Timing Runs'!$B$6:$B$205=$A15)*ISNUMBER('Timing Runs'!$M$6:$M$205)*('Timing Runs'!$N$6:$N$205="Delivered")*('Timing Runs'!$O$6:$O$205=""),'Timing Runs'!$M$6:$M$205)))</f>
        <v/>
      </c>
      <c r="N15" s="12" t="str">
        <f t="array" ref="N15">IF(SUMPRODUCT(('Timing Runs'!$B$6:$B$205=$A15)*ISNUMBER('Timing Runs'!$M$6:$M$205)*('Timing Runs'!$N$6:$N$205="Delivered")*('Timing Runs'!$O$6:$O$205=""))=0,"",MAX(IF(('Timing Runs'!$B$6:$B$205=$A15)*ISNUMBER('Timing Runs'!$M$6:$M$205)*('Timing Runs'!$N$6:$N$205="Delivered")*('Timing Runs'!$O$6:$O$205=""),'Timing Runs'!$M$6:$M$205)))</f>
        <v/>
      </c>
    </row>
    <row r="16" spans="1:14" ht="45" customHeight="1">
      <c r="A16" s="1" t="s">
        <v>87</v>
      </c>
      <c r="B16" s="1" t="s">
        <v>89</v>
      </c>
      <c r="C16" s="6">
        <f>COUNTIFS('Timing Runs'!$B$6:$B$205,$A16,'Timing Runs'!$N$6:$N$205,"Delivered")+COUNTIFS('Timing Runs'!$B$6:$B$205,$A16,'Timing Runs'!$N$6:$N$205,"Received; receipt pending")+COUNTIFS('Timing Runs'!$B$6:$B$205,$A16,'Timing Runs'!$N$6:$N$205,"Failed")+COUNTIFS('Timing Runs'!$B$6:$B$205,$A16,'Timing Runs'!$N$6:$N$205,"Expired")</f>
        <v>0</v>
      </c>
      <c r="D16" s="6">
        <f>COUNTIFS('Timing Runs'!$B$6:$B$205,$A16,'Timing Runs'!$N$6:$N$205,"Delivered")+COUNTIFS('Timing Runs'!$B$6:$B$205,$A16,'Timing Runs'!$N$6:$N$205,"Received; receipt pending")</f>
        <v>0</v>
      </c>
      <c r="E16" s="6">
        <f>COUNTIFS('Timing Runs'!$B$6:$B$205,$A16,'Timing Runs'!$N$6:$N$205,"Failed")</f>
        <v>0</v>
      </c>
      <c r="F16" s="6">
        <f>COUNTIFS('Timing Runs'!$B$6:$B$205,$A16,'Timing Runs'!$N$6:$N$205,"Expired")</f>
        <v>0</v>
      </c>
      <c r="G16" s="6">
        <f>COUNTIFS('Timing Runs'!$B$6:$B$205,$A16,'Timing Runs'!$N$6:$N$205,"Blocked")</f>
        <v>0</v>
      </c>
      <c r="H16" s="7">
        <f>IF(C16=0,"",D16/C16)</f>
        <v/>
      </c>
      <c r="I16" s="12" t="str">
        <f t="array" ref="I16">IF(SUMPRODUCT(('Timing Runs'!$B$6:$B$205=$A16)*ISNUMBER('Timing Runs'!$L$6:$L$205)*(('Timing Runs'!$N$6:$N$205="Delivered")+('Timing Runs'!$N$6:$N$205="Received; receipt pending"))*('Timing Runs'!$O$6:$O$205=""))=0,"",MIN(IF(('Timing Runs'!$B$6:$B$205=$A16)*ISNUMBER('Timing Runs'!$L$6:$L$205)*(('Timing Runs'!$N$6:$N$205="Delivered")+('Timing Runs'!$N$6:$N$205="Received; receipt pending"))*('Timing Runs'!$O$6:$O$205=""),'Timing Runs'!$L$6:$L$205)))</f>
        <v/>
      </c>
      <c r="J16" s="12" t="str">
        <f t="array" ref="J16">IF(SUMPRODUCT(('Timing Runs'!$B$6:$B$205=$A16)*ISNUMBER('Timing Runs'!$L$6:$L$205)*(('Timing Runs'!$N$6:$N$205="Delivered")+('Timing Runs'!$N$6:$N$205="Received; receipt pending"))*('Timing Runs'!$O$6:$O$205=""))=0,"",MEDIAN(IF(('Timing Runs'!$B$6:$B$205=$A16)*ISNUMBER('Timing Runs'!$L$6:$L$205)*(('Timing Runs'!$N$6:$N$205="Delivered")+('Timing Runs'!$N$6:$N$205="Received; receipt pending"))*('Timing Runs'!$O$6:$O$205=""),'Timing Runs'!$L$6:$L$205)))</f>
        <v/>
      </c>
      <c r="K16" s="12" t="str">
        <f t="array" ref="K16">IF(SUMPRODUCT(('Timing Runs'!$B$6:$B$205=$A16)*ISNUMBER('Timing Runs'!$L$6:$L$205)*(('Timing Runs'!$N$6:$N$205="Delivered")+('Timing Runs'!$N$6:$N$205="Received; receipt pending"))*('Timing Runs'!$O$6:$O$205=""))=0,"",MAX(IF(('Timing Runs'!$B$6:$B$205=$A16)*ISNUMBER('Timing Runs'!$L$6:$L$205)*(('Timing Runs'!$N$6:$N$205="Delivered")+('Timing Runs'!$N$6:$N$205="Received; receipt pending"))*('Timing Runs'!$O$6:$O$205=""),'Timing Runs'!$L$6:$L$205)))</f>
        <v/>
      </c>
      <c r="L16" s="12" t="str">
        <f t="array" ref="L16">IF(SUMPRODUCT(('Timing Runs'!$B$6:$B$205=$A16)*ISNUMBER('Timing Runs'!$M$6:$M$205)*('Timing Runs'!$N$6:$N$205="Delivered")*('Timing Runs'!$O$6:$O$205=""))=0,"",MIN(IF(('Timing Runs'!$B$6:$B$205=$A16)*ISNUMBER('Timing Runs'!$M$6:$M$205)*('Timing Runs'!$N$6:$N$205="Delivered")*('Timing Runs'!$O$6:$O$205=""),'Timing Runs'!$M$6:$M$205)))</f>
        <v/>
      </c>
      <c r="M16" s="12" t="str">
        <f t="array" ref="M16">IF(SUMPRODUCT(('Timing Runs'!$B$6:$B$205=$A16)*ISNUMBER('Timing Runs'!$M$6:$M$205)*('Timing Runs'!$N$6:$N$205="Delivered")*('Timing Runs'!$O$6:$O$205=""))=0,"",MEDIAN(IF(('Timing Runs'!$B$6:$B$205=$A16)*ISNUMBER('Timing Runs'!$M$6:$M$205)*('Timing Runs'!$N$6:$N$205="Delivered")*('Timing Runs'!$O$6:$O$205=""),'Timing Runs'!$M$6:$M$205)))</f>
        <v/>
      </c>
      <c r="N16" s="12" t="str">
        <f t="array" ref="N16">IF(SUMPRODUCT(('Timing Runs'!$B$6:$B$205=$A16)*ISNUMBER('Timing Runs'!$M$6:$M$205)*('Timing Runs'!$N$6:$N$205="Delivered")*('Timing Runs'!$O$6:$O$205=""))=0,"",MAX(IF(('Timing Runs'!$B$6:$B$205=$A16)*ISNUMBER('Timing Runs'!$M$6:$M$205)*('Timing Runs'!$N$6:$N$205="Delivered")*('Timing Runs'!$O$6:$O$205=""),'Timing Runs'!$M$6:$M$205)))</f>
        <v/>
      </c>
    </row>
    <row r="17" spans="1:14" ht="45" customHeight="1">
      <c r="A17" s="1" t="s">
        <v>94</v>
      </c>
      <c r="B17" s="1" t="s">
        <v>96</v>
      </c>
      <c r="C17" s="6">
        <f>COUNTIFS('Timing Runs'!$B$6:$B$205,$A17,'Timing Runs'!$N$6:$N$205,"Delivered")+COUNTIFS('Timing Runs'!$B$6:$B$205,$A17,'Timing Runs'!$N$6:$N$205,"Received; receipt pending")+COUNTIFS('Timing Runs'!$B$6:$B$205,$A17,'Timing Runs'!$N$6:$N$205,"Failed")+COUNTIFS('Timing Runs'!$B$6:$B$205,$A17,'Timing Runs'!$N$6:$N$205,"Expired")</f>
        <v>0</v>
      </c>
      <c r="D17" s="6">
        <f>COUNTIFS('Timing Runs'!$B$6:$B$205,$A17,'Timing Runs'!$N$6:$N$205,"Delivered")+COUNTIFS('Timing Runs'!$B$6:$B$205,$A17,'Timing Runs'!$N$6:$N$205,"Received; receipt pending")</f>
        <v>0</v>
      </c>
      <c r="E17" s="6">
        <f>COUNTIFS('Timing Runs'!$B$6:$B$205,$A17,'Timing Runs'!$N$6:$N$205,"Failed")</f>
        <v>0</v>
      </c>
      <c r="F17" s="6">
        <f>COUNTIFS('Timing Runs'!$B$6:$B$205,$A17,'Timing Runs'!$N$6:$N$205,"Expired")</f>
        <v>0</v>
      </c>
      <c r="G17" s="6">
        <f>COUNTIFS('Timing Runs'!$B$6:$B$205,$A17,'Timing Runs'!$N$6:$N$205,"Blocked")</f>
        <v>0</v>
      </c>
      <c r="H17" s="7">
        <f>IF(C17=0,"",D17/C17)</f>
        <v/>
      </c>
      <c r="I17" s="12" t="str">
        <f t="array" ref="I17">IF(SUMPRODUCT(('Timing Runs'!$B$6:$B$205=$A17)*ISNUMBER('Timing Runs'!$L$6:$L$205)*(('Timing Runs'!$N$6:$N$205="Delivered")+('Timing Runs'!$N$6:$N$205="Received; receipt pending"))*('Timing Runs'!$O$6:$O$205=""))=0,"",MIN(IF(('Timing Runs'!$B$6:$B$205=$A17)*ISNUMBER('Timing Runs'!$L$6:$L$205)*(('Timing Runs'!$N$6:$N$205="Delivered")+('Timing Runs'!$N$6:$N$205="Received; receipt pending"))*('Timing Runs'!$O$6:$O$205=""),'Timing Runs'!$L$6:$L$205)))</f>
        <v/>
      </c>
      <c r="J17" s="12" t="str">
        <f t="array" ref="J17">IF(SUMPRODUCT(('Timing Runs'!$B$6:$B$205=$A17)*ISNUMBER('Timing Runs'!$L$6:$L$205)*(('Timing Runs'!$N$6:$N$205="Delivered")+('Timing Runs'!$N$6:$N$205="Received; receipt pending"))*('Timing Runs'!$O$6:$O$205=""))=0,"",MEDIAN(IF(('Timing Runs'!$B$6:$B$205=$A17)*ISNUMBER('Timing Runs'!$L$6:$L$205)*(('Timing Runs'!$N$6:$N$205="Delivered")+('Timing Runs'!$N$6:$N$205="Received; receipt pending"))*('Timing Runs'!$O$6:$O$205=""),'Timing Runs'!$L$6:$L$205)))</f>
        <v/>
      </c>
      <c r="K17" s="12" t="str">
        <f t="array" ref="K17">IF(SUMPRODUCT(('Timing Runs'!$B$6:$B$205=$A17)*ISNUMBER('Timing Runs'!$L$6:$L$205)*(('Timing Runs'!$N$6:$N$205="Delivered")+('Timing Runs'!$N$6:$N$205="Received; receipt pending"))*('Timing Runs'!$O$6:$O$205=""))=0,"",MAX(IF(('Timing Runs'!$B$6:$B$205=$A17)*ISNUMBER('Timing Runs'!$L$6:$L$205)*(('Timing Runs'!$N$6:$N$205="Delivered")+('Timing Runs'!$N$6:$N$205="Received; receipt pending"))*('Timing Runs'!$O$6:$O$205=""),'Timing Runs'!$L$6:$L$205)))</f>
        <v/>
      </c>
      <c r="L17" s="12" t="str">
        <f t="array" ref="L17">IF(SUMPRODUCT(('Timing Runs'!$B$6:$B$205=$A17)*ISNUMBER('Timing Runs'!$M$6:$M$205)*('Timing Runs'!$N$6:$N$205="Delivered")*('Timing Runs'!$O$6:$O$205=""))=0,"",MIN(IF(('Timing Runs'!$B$6:$B$205=$A17)*ISNUMBER('Timing Runs'!$M$6:$M$205)*('Timing Runs'!$N$6:$N$205="Delivered")*('Timing Runs'!$O$6:$O$205=""),'Timing Runs'!$M$6:$M$205)))</f>
        <v/>
      </c>
      <c r="M17" s="12" t="str">
        <f t="array" ref="M17">IF(SUMPRODUCT(('Timing Runs'!$B$6:$B$205=$A17)*ISNUMBER('Timing Runs'!$M$6:$M$205)*('Timing Runs'!$N$6:$N$205="Delivered")*('Timing Runs'!$O$6:$O$205=""))=0,"",MEDIAN(IF(('Timing Runs'!$B$6:$B$205=$A17)*ISNUMBER('Timing Runs'!$M$6:$M$205)*('Timing Runs'!$N$6:$N$205="Delivered")*('Timing Runs'!$O$6:$O$205=""),'Timing Runs'!$M$6:$M$205)))</f>
        <v/>
      </c>
      <c r="N17" s="12" t="str">
        <f t="array" ref="N17">IF(SUMPRODUCT(('Timing Runs'!$B$6:$B$205=$A17)*ISNUMBER('Timing Runs'!$M$6:$M$205)*('Timing Runs'!$N$6:$N$205="Delivered")*('Timing Runs'!$O$6:$O$205=""))=0,"",MAX(IF(('Timing Runs'!$B$6:$B$205=$A17)*ISNUMBER('Timing Runs'!$M$6:$M$205)*('Timing Runs'!$N$6:$N$205="Delivered")*('Timing Runs'!$O$6:$O$205=""),'Timing Runs'!$M$6:$M$205)))</f>
        <v/>
      </c>
    </row>
    <row r="18" spans="1:14" ht="45" customHeight="1">
      <c r="A18" s="1" t="s">
        <v>101</v>
      </c>
      <c r="B18" s="1" t="s">
        <v>103</v>
      </c>
      <c r="C18" s="6">
        <f>COUNTIFS('Timing Runs'!$B$6:$B$205,$A18,'Timing Runs'!$N$6:$N$205,"Delivered")+COUNTIFS('Timing Runs'!$B$6:$B$205,$A18,'Timing Runs'!$N$6:$N$205,"Received; receipt pending")+COUNTIFS('Timing Runs'!$B$6:$B$205,$A18,'Timing Runs'!$N$6:$N$205,"Failed")+COUNTIFS('Timing Runs'!$B$6:$B$205,$A18,'Timing Runs'!$N$6:$N$205,"Expired")</f>
        <v>0</v>
      </c>
      <c r="D18" s="6">
        <f>COUNTIFS('Timing Runs'!$B$6:$B$205,$A18,'Timing Runs'!$N$6:$N$205,"Delivered")+COUNTIFS('Timing Runs'!$B$6:$B$205,$A18,'Timing Runs'!$N$6:$N$205,"Received; receipt pending")</f>
        <v>0</v>
      </c>
      <c r="E18" s="6">
        <f>COUNTIFS('Timing Runs'!$B$6:$B$205,$A18,'Timing Runs'!$N$6:$N$205,"Failed")</f>
        <v>0</v>
      </c>
      <c r="F18" s="6">
        <f>COUNTIFS('Timing Runs'!$B$6:$B$205,$A18,'Timing Runs'!$N$6:$N$205,"Expired")</f>
        <v>0</v>
      </c>
      <c r="G18" s="6">
        <f>COUNTIFS('Timing Runs'!$B$6:$B$205,$A18,'Timing Runs'!$N$6:$N$205,"Blocked")</f>
        <v>0</v>
      </c>
      <c r="H18" s="7">
        <f>IF(C18=0,"",D18/C18)</f>
        <v/>
      </c>
      <c r="I18" s="12" t="str">
        <f t="array" ref="I18">IF(SUMPRODUCT(('Timing Runs'!$B$6:$B$205=$A18)*ISNUMBER('Timing Runs'!$L$6:$L$205)*(('Timing Runs'!$N$6:$N$205="Delivered")+('Timing Runs'!$N$6:$N$205="Received; receipt pending"))*('Timing Runs'!$O$6:$O$205=""))=0,"",MIN(IF(('Timing Runs'!$B$6:$B$205=$A18)*ISNUMBER('Timing Runs'!$L$6:$L$205)*(('Timing Runs'!$N$6:$N$205="Delivered")+('Timing Runs'!$N$6:$N$205="Received; receipt pending"))*('Timing Runs'!$O$6:$O$205=""),'Timing Runs'!$L$6:$L$205)))</f>
        <v/>
      </c>
      <c r="J18" s="12" t="str">
        <f t="array" ref="J18">IF(SUMPRODUCT(('Timing Runs'!$B$6:$B$205=$A18)*ISNUMBER('Timing Runs'!$L$6:$L$205)*(('Timing Runs'!$N$6:$N$205="Delivered")+('Timing Runs'!$N$6:$N$205="Received; receipt pending"))*('Timing Runs'!$O$6:$O$205=""))=0,"",MEDIAN(IF(('Timing Runs'!$B$6:$B$205=$A18)*ISNUMBER('Timing Runs'!$L$6:$L$205)*(('Timing Runs'!$N$6:$N$205="Delivered")+('Timing Runs'!$N$6:$N$205="Received; receipt pending"))*('Timing Runs'!$O$6:$O$205=""),'Timing Runs'!$L$6:$L$205)))</f>
        <v/>
      </c>
      <c r="K18" s="12" t="str">
        <f t="array" ref="K18">IF(SUMPRODUCT(('Timing Runs'!$B$6:$B$205=$A18)*ISNUMBER('Timing Runs'!$L$6:$L$205)*(('Timing Runs'!$N$6:$N$205="Delivered")+('Timing Runs'!$N$6:$N$205="Received; receipt pending"))*('Timing Runs'!$O$6:$O$205=""))=0,"",MAX(IF(('Timing Runs'!$B$6:$B$205=$A18)*ISNUMBER('Timing Runs'!$L$6:$L$205)*(('Timing Runs'!$N$6:$N$205="Delivered")+('Timing Runs'!$N$6:$N$205="Received; receipt pending"))*('Timing Runs'!$O$6:$O$205=""),'Timing Runs'!$L$6:$L$205)))</f>
        <v/>
      </c>
      <c r="L18" s="12" t="str">
        <f t="array" ref="L18">IF(SUMPRODUCT(('Timing Runs'!$B$6:$B$205=$A18)*ISNUMBER('Timing Runs'!$M$6:$M$205)*('Timing Runs'!$N$6:$N$205="Delivered")*('Timing Runs'!$O$6:$O$205=""))=0,"",MIN(IF(('Timing Runs'!$B$6:$B$205=$A18)*ISNUMBER('Timing Runs'!$M$6:$M$205)*('Timing Runs'!$N$6:$N$205="Delivered")*('Timing Runs'!$O$6:$O$205=""),'Timing Runs'!$M$6:$M$205)))</f>
        <v/>
      </c>
      <c r="M18" s="12" t="str">
        <f t="array" ref="M18">IF(SUMPRODUCT(('Timing Runs'!$B$6:$B$205=$A18)*ISNUMBER('Timing Runs'!$M$6:$M$205)*('Timing Runs'!$N$6:$N$205="Delivered")*('Timing Runs'!$O$6:$O$205=""))=0,"",MEDIAN(IF(('Timing Runs'!$B$6:$B$205=$A18)*ISNUMBER('Timing Runs'!$M$6:$M$205)*('Timing Runs'!$N$6:$N$205="Delivered")*('Timing Runs'!$O$6:$O$205=""),'Timing Runs'!$M$6:$M$205)))</f>
        <v/>
      </c>
      <c r="N18" s="12" t="str">
        <f t="array" ref="N18">IF(SUMPRODUCT(('Timing Runs'!$B$6:$B$205=$A18)*ISNUMBER('Timing Runs'!$M$6:$M$205)*('Timing Runs'!$N$6:$N$205="Delivered")*('Timing Runs'!$O$6:$O$205=""))=0,"",MAX(IF(('Timing Runs'!$B$6:$B$205=$A18)*ISNUMBER('Timing Runs'!$M$6:$M$205)*('Timing Runs'!$N$6:$N$205="Delivered")*('Timing Runs'!$O$6:$O$205=""),'Timing Runs'!$M$6:$M$205)))</f>
        <v/>
      </c>
    </row>
    <row r="19" spans="1:14" ht="45" customHeight="1">
      <c r="A19" s="1" t="s">
        <v>108</v>
      </c>
      <c r="B19" s="1" t="s">
        <v>110</v>
      </c>
      <c r="C19" s="6">
        <f>COUNTIFS('Timing Runs'!$B$6:$B$205,$A19,'Timing Runs'!$N$6:$N$205,"Delivered")+COUNTIFS('Timing Runs'!$B$6:$B$205,$A19,'Timing Runs'!$N$6:$N$205,"Received; receipt pending")+COUNTIFS('Timing Runs'!$B$6:$B$205,$A19,'Timing Runs'!$N$6:$N$205,"Failed")+COUNTIFS('Timing Runs'!$B$6:$B$205,$A19,'Timing Runs'!$N$6:$N$205,"Expired")</f>
        <v>0</v>
      </c>
      <c r="D19" s="6">
        <f>COUNTIFS('Timing Runs'!$B$6:$B$205,$A19,'Timing Runs'!$N$6:$N$205,"Delivered")+COUNTIFS('Timing Runs'!$B$6:$B$205,$A19,'Timing Runs'!$N$6:$N$205,"Received; receipt pending")</f>
        <v>0</v>
      </c>
      <c r="E19" s="6">
        <f>COUNTIFS('Timing Runs'!$B$6:$B$205,$A19,'Timing Runs'!$N$6:$N$205,"Failed")</f>
        <v>0</v>
      </c>
      <c r="F19" s="6">
        <f>COUNTIFS('Timing Runs'!$B$6:$B$205,$A19,'Timing Runs'!$N$6:$N$205,"Expired")</f>
        <v>0</v>
      </c>
      <c r="G19" s="6">
        <f>COUNTIFS('Timing Runs'!$B$6:$B$205,$A19,'Timing Runs'!$N$6:$N$205,"Blocked")</f>
        <v>0</v>
      </c>
      <c r="H19" s="7">
        <f>IF(C19=0,"",D19/C19)</f>
        <v/>
      </c>
      <c r="I19" s="12" t="str">
        <f t="array" ref="I19">IF(SUMPRODUCT(('Timing Runs'!$B$6:$B$205=$A19)*ISNUMBER('Timing Runs'!$L$6:$L$205)*(('Timing Runs'!$N$6:$N$205="Delivered")+('Timing Runs'!$N$6:$N$205="Received; receipt pending"))*('Timing Runs'!$O$6:$O$205=""))=0,"",MIN(IF(('Timing Runs'!$B$6:$B$205=$A19)*ISNUMBER('Timing Runs'!$L$6:$L$205)*(('Timing Runs'!$N$6:$N$205="Delivered")+('Timing Runs'!$N$6:$N$205="Received; receipt pending"))*('Timing Runs'!$O$6:$O$205=""),'Timing Runs'!$L$6:$L$205)))</f>
        <v/>
      </c>
      <c r="J19" s="12" t="str">
        <f t="array" ref="J19">IF(SUMPRODUCT(('Timing Runs'!$B$6:$B$205=$A19)*ISNUMBER('Timing Runs'!$L$6:$L$205)*(('Timing Runs'!$N$6:$N$205="Delivered")+('Timing Runs'!$N$6:$N$205="Received; receipt pending"))*('Timing Runs'!$O$6:$O$205=""))=0,"",MEDIAN(IF(('Timing Runs'!$B$6:$B$205=$A19)*ISNUMBER('Timing Runs'!$L$6:$L$205)*(('Timing Runs'!$N$6:$N$205="Delivered")+('Timing Runs'!$N$6:$N$205="Received; receipt pending"))*('Timing Runs'!$O$6:$O$205=""),'Timing Runs'!$L$6:$L$205)))</f>
        <v/>
      </c>
      <c r="K19" s="12" t="str">
        <f t="array" ref="K19">IF(SUMPRODUCT(('Timing Runs'!$B$6:$B$205=$A19)*ISNUMBER('Timing Runs'!$L$6:$L$205)*(('Timing Runs'!$N$6:$N$205="Delivered")+('Timing Runs'!$N$6:$N$205="Received; receipt pending"))*('Timing Runs'!$O$6:$O$205=""))=0,"",MAX(IF(('Timing Runs'!$B$6:$B$205=$A19)*ISNUMBER('Timing Runs'!$L$6:$L$205)*(('Timing Runs'!$N$6:$N$205="Delivered")+('Timing Runs'!$N$6:$N$205="Received; receipt pending"))*('Timing Runs'!$O$6:$O$205=""),'Timing Runs'!$L$6:$L$205)))</f>
        <v/>
      </c>
      <c r="L19" s="12" t="str">
        <f t="array" ref="L19">IF(SUMPRODUCT(('Timing Runs'!$B$6:$B$205=$A19)*ISNUMBER('Timing Runs'!$M$6:$M$205)*('Timing Runs'!$N$6:$N$205="Delivered")*('Timing Runs'!$O$6:$O$205=""))=0,"",MIN(IF(('Timing Runs'!$B$6:$B$205=$A19)*ISNUMBER('Timing Runs'!$M$6:$M$205)*('Timing Runs'!$N$6:$N$205="Delivered")*('Timing Runs'!$O$6:$O$205=""),'Timing Runs'!$M$6:$M$205)))</f>
        <v/>
      </c>
      <c r="M19" s="12" t="str">
        <f t="array" ref="M19">IF(SUMPRODUCT(('Timing Runs'!$B$6:$B$205=$A19)*ISNUMBER('Timing Runs'!$M$6:$M$205)*('Timing Runs'!$N$6:$N$205="Delivered")*('Timing Runs'!$O$6:$O$205=""))=0,"",MEDIAN(IF(('Timing Runs'!$B$6:$B$205=$A19)*ISNUMBER('Timing Runs'!$M$6:$M$205)*('Timing Runs'!$N$6:$N$205="Delivered")*('Timing Runs'!$O$6:$O$205=""),'Timing Runs'!$M$6:$M$205)))</f>
        <v/>
      </c>
      <c r="N19" s="12" t="str">
        <f t="array" ref="N19">IF(SUMPRODUCT(('Timing Runs'!$B$6:$B$205=$A19)*ISNUMBER('Timing Runs'!$M$6:$M$205)*('Timing Runs'!$N$6:$N$205="Delivered")*('Timing Runs'!$O$6:$O$205=""))=0,"",MAX(IF(('Timing Runs'!$B$6:$B$205=$A19)*ISNUMBER('Timing Runs'!$M$6:$M$205)*('Timing Runs'!$N$6:$N$205="Delivered")*('Timing Runs'!$O$6:$O$205=""),'Timing Runs'!$M$6:$M$205)))</f>
        <v/>
      </c>
    </row>
    <row r="20" spans="1:14" ht="45" customHeight="1">
      <c r="A20" s="1" t="s">
        <v>115</v>
      </c>
      <c r="B20" s="1" t="s">
        <v>117</v>
      </c>
      <c r="C20" s="6">
        <f>COUNTIFS('Timing Runs'!$B$6:$B$205,$A20,'Timing Runs'!$N$6:$N$205,"Delivered")+COUNTIFS('Timing Runs'!$B$6:$B$205,$A20,'Timing Runs'!$N$6:$N$205,"Received; receipt pending")+COUNTIFS('Timing Runs'!$B$6:$B$205,$A20,'Timing Runs'!$N$6:$N$205,"Failed")+COUNTIFS('Timing Runs'!$B$6:$B$205,$A20,'Timing Runs'!$N$6:$N$205,"Expired")</f>
        <v>0</v>
      </c>
      <c r="D20" s="6">
        <f>COUNTIFS('Timing Runs'!$B$6:$B$205,$A20,'Timing Runs'!$N$6:$N$205,"Delivered")+COUNTIFS('Timing Runs'!$B$6:$B$205,$A20,'Timing Runs'!$N$6:$N$205,"Received; receipt pending")</f>
        <v>0</v>
      </c>
      <c r="E20" s="6">
        <f>COUNTIFS('Timing Runs'!$B$6:$B$205,$A20,'Timing Runs'!$N$6:$N$205,"Failed")</f>
        <v>0</v>
      </c>
      <c r="F20" s="6">
        <f>COUNTIFS('Timing Runs'!$B$6:$B$205,$A20,'Timing Runs'!$N$6:$N$205,"Expired")</f>
        <v>0</v>
      </c>
      <c r="G20" s="6">
        <f>COUNTIFS('Timing Runs'!$B$6:$B$205,$A20,'Timing Runs'!$N$6:$N$205,"Blocked")</f>
        <v>0</v>
      </c>
      <c r="H20" s="7">
        <f>IF(C20=0,"",D20/C20)</f>
        <v/>
      </c>
      <c r="I20" s="12" t="str">
        <f t="array" ref="I20">IF(SUMPRODUCT(('Timing Runs'!$B$6:$B$205=$A20)*ISNUMBER('Timing Runs'!$L$6:$L$205)*(('Timing Runs'!$N$6:$N$205="Delivered")+('Timing Runs'!$N$6:$N$205="Received; receipt pending"))*('Timing Runs'!$O$6:$O$205=""))=0,"",MIN(IF(('Timing Runs'!$B$6:$B$205=$A20)*ISNUMBER('Timing Runs'!$L$6:$L$205)*(('Timing Runs'!$N$6:$N$205="Delivered")+('Timing Runs'!$N$6:$N$205="Received; receipt pending"))*('Timing Runs'!$O$6:$O$205=""),'Timing Runs'!$L$6:$L$205)))</f>
        <v/>
      </c>
      <c r="J20" s="12" t="str">
        <f t="array" ref="J20">IF(SUMPRODUCT(('Timing Runs'!$B$6:$B$205=$A20)*ISNUMBER('Timing Runs'!$L$6:$L$205)*(('Timing Runs'!$N$6:$N$205="Delivered")+('Timing Runs'!$N$6:$N$205="Received; receipt pending"))*('Timing Runs'!$O$6:$O$205=""))=0,"",MEDIAN(IF(('Timing Runs'!$B$6:$B$205=$A20)*ISNUMBER('Timing Runs'!$L$6:$L$205)*(('Timing Runs'!$N$6:$N$205="Delivered")+('Timing Runs'!$N$6:$N$205="Received; receipt pending"))*('Timing Runs'!$O$6:$O$205=""),'Timing Runs'!$L$6:$L$205)))</f>
        <v/>
      </c>
      <c r="K20" s="12" t="str">
        <f t="array" ref="K20">IF(SUMPRODUCT(('Timing Runs'!$B$6:$B$205=$A20)*ISNUMBER('Timing Runs'!$L$6:$L$205)*(('Timing Runs'!$N$6:$N$205="Delivered")+('Timing Runs'!$N$6:$N$205="Received; receipt pending"))*('Timing Runs'!$O$6:$O$205=""))=0,"",MAX(IF(('Timing Runs'!$B$6:$B$205=$A20)*ISNUMBER('Timing Runs'!$L$6:$L$205)*(('Timing Runs'!$N$6:$N$205="Delivered")+('Timing Runs'!$N$6:$N$205="Received; receipt pending"))*('Timing Runs'!$O$6:$O$205=""),'Timing Runs'!$L$6:$L$205)))</f>
        <v/>
      </c>
      <c r="L20" s="12" t="str">
        <f t="array" ref="L20">IF(SUMPRODUCT(('Timing Runs'!$B$6:$B$205=$A20)*ISNUMBER('Timing Runs'!$M$6:$M$205)*('Timing Runs'!$N$6:$N$205="Delivered")*('Timing Runs'!$O$6:$O$205=""))=0,"",MIN(IF(('Timing Runs'!$B$6:$B$205=$A20)*ISNUMBER('Timing Runs'!$M$6:$M$205)*('Timing Runs'!$N$6:$N$205="Delivered")*('Timing Runs'!$O$6:$O$205=""),'Timing Runs'!$M$6:$M$205)))</f>
        <v/>
      </c>
      <c r="M20" s="12" t="str">
        <f t="array" ref="M20">IF(SUMPRODUCT(('Timing Runs'!$B$6:$B$205=$A20)*ISNUMBER('Timing Runs'!$M$6:$M$205)*('Timing Runs'!$N$6:$N$205="Delivered")*('Timing Runs'!$O$6:$O$205=""))=0,"",MEDIAN(IF(('Timing Runs'!$B$6:$B$205=$A20)*ISNUMBER('Timing Runs'!$M$6:$M$205)*('Timing Runs'!$N$6:$N$205="Delivered")*('Timing Runs'!$O$6:$O$205=""),'Timing Runs'!$M$6:$M$205)))</f>
        <v/>
      </c>
      <c r="N20" s="12" t="str">
        <f t="array" ref="N20">IF(SUMPRODUCT(('Timing Runs'!$B$6:$B$205=$A20)*ISNUMBER('Timing Runs'!$M$6:$M$205)*('Timing Runs'!$N$6:$N$205="Delivered")*('Timing Runs'!$O$6:$O$205=""))=0,"",MAX(IF(('Timing Runs'!$B$6:$B$205=$A20)*ISNUMBER('Timing Runs'!$M$6:$M$205)*('Timing Runs'!$N$6:$N$205="Delivered")*('Timing Runs'!$O$6:$O$205=""),'Timing Runs'!$M$6:$M$205)))</f>
        <v/>
      </c>
    </row>
    <row r="21" spans="1:14" ht="45" customHeight="1">
      <c r="A21" s="1" t="s">
        <v>122</v>
      </c>
      <c r="B21" s="1" t="s">
        <v>124</v>
      </c>
      <c r="C21" s="6">
        <f>COUNTIFS('Timing Runs'!$B$6:$B$205,$A21,'Timing Runs'!$N$6:$N$205,"Delivered")+COUNTIFS('Timing Runs'!$B$6:$B$205,$A21,'Timing Runs'!$N$6:$N$205,"Received; receipt pending")+COUNTIFS('Timing Runs'!$B$6:$B$205,$A21,'Timing Runs'!$N$6:$N$205,"Failed")+COUNTIFS('Timing Runs'!$B$6:$B$205,$A21,'Timing Runs'!$N$6:$N$205,"Expired")</f>
        <v>0</v>
      </c>
      <c r="D21" s="6">
        <f>COUNTIFS('Timing Runs'!$B$6:$B$205,$A21,'Timing Runs'!$N$6:$N$205,"Delivered")+COUNTIFS('Timing Runs'!$B$6:$B$205,$A21,'Timing Runs'!$N$6:$N$205,"Received; receipt pending")</f>
        <v>0</v>
      </c>
      <c r="E21" s="6">
        <f>COUNTIFS('Timing Runs'!$B$6:$B$205,$A21,'Timing Runs'!$N$6:$N$205,"Failed")</f>
        <v>0</v>
      </c>
      <c r="F21" s="6">
        <f>COUNTIFS('Timing Runs'!$B$6:$B$205,$A21,'Timing Runs'!$N$6:$N$205,"Expired")</f>
        <v>0</v>
      </c>
      <c r="G21" s="6">
        <f>COUNTIFS('Timing Runs'!$B$6:$B$205,$A21,'Timing Runs'!$N$6:$N$205,"Blocked")</f>
        <v>0</v>
      </c>
      <c r="H21" s="7">
        <f>IF(C21=0,"",D21/C21)</f>
        <v/>
      </c>
      <c r="I21" s="12" t="str">
        <f t="array" ref="I21">IF(SUMPRODUCT(('Timing Runs'!$B$6:$B$205=$A21)*ISNUMBER('Timing Runs'!$L$6:$L$205)*(('Timing Runs'!$N$6:$N$205="Delivered")+('Timing Runs'!$N$6:$N$205="Received; receipt pending"))*('Timing Runs'!$O$6:$O$205=""))=0,"",MIN(IF(('Timing Runs'!$B$6:$B$205=$A21)*ISNUMBER('Timing Runs'!$L$6:$L$205)*(('Timing Runs'!$N$6:$N$205="Delivered")+('Timing Runs'!$N$6:$N$205="Received; receipt pending"))*('Timing Runs'!$O$6:$O$205=""),'Timing Runs'!$L$6:$L$205)))</f>
        <v/>
      </c>
      <c r="J21" s="12" t="str">
        <f t="array" ref="J21">IF(SUMPRODUCT(('Timing Runs'!$B$6:$B$205=$A21)*ISNUMBER('Timing Runs'!$L$6:$L$205)*(('Timing Runs'!$N$6:$N$205="Delivered")+('Timing Runs'!$N$6:$N$205="Received; receipt pending"))*('Timing Runs'!$O$6:$O$205=""))=0,"",MEDIAN(IF(('Timing Runs'!$B$6:$B$205=$A21)*ISNUMBER('Timing Runs'!$L$6:$L$205)*(('Timing Runs'!$N$6:$N$205="Delivered")+('Timing Runs'!$N$6:$N$205="Received; receipt pending"))*('Timing Runs'!$O$6:$O$205=""),'Timing Runs'!$L$6:$L$205)))</f>
        <v/>
      </c>
      <c r="K21" s="12" t="str">
        <f t="array" ref="K21">IF(SUMPRODUCT(('Timing Runs'!$B$6:$B$205=$A21)*ISNUMBER('Timing Runs'!$L$6:$L$205)*(('Timing Runs'!$N$6:$N$205="Delivered")+('Timing Runs'!$N$6:$N$205="Received; receipt pending"))*('Timing Runs'!$O$6:$O$205=""))=0,"",MAX(IF(('Timing Runs'!$B$6:$B$205=$A21)*ISNUMBER('Timing Runs'!$L$6:$L$205)*(('Timing Runs'!$N$6:$N$205="Delivered")+('Timing Runs'!$N$6:$N$205="Received; receipt pending"))*('Timing Runs'!$O$6:$O$205=""),'Timing Runs'!$L$6:$L$205)))</f>
        <v/>
      </c>
      <c r="L21" s="12" t="str">
        <f t="array" ref="L21">IF(SUMPRODUCT(('Timing Runs'!$B$6:$B$205=$A21)*ISNUMBER('Timing Runs'!$M$6:$M$205)*('Timing Runs'!$N$6:$N$205="Delivered")*('Timing Runs'!$O$6:$O$205=""))=0,"",MIN(IF(('Timing Runs'!$B$6:$B$205=$A21)*ISNUMBER('Timing Runs'!$M$6:$M$205)*('Timing Runs'!$N$6:$N$205="Delivered")*('Timing Runs'!$O$6:$O$205=""),'Timing Runs'!$M$6:$M$205)))</f>
        <v/>
      </c>
      <c r="M21" s="12" t="str">
        <f t="array" ref="M21">IF(SUMPRODUCT(('Timing Runs'!$B$6:$B$205=$A21)*ISNUMBER('Timing Runs'!$M$6:$M$205)*('Timing Runs'!$N$6:$N$205="Delivered")*('Timing Runs'!$O$6:$O$205=""))=0,"",MEDIAN(IF(('Timing Runs'!$B$6:$B$205=$A21)*ISNUMBER('Timing Runs'!$M$6:$M$205)*('Timing Runs'!$N$6:$N$205="Delivered")*('Timing Runs'!$O$6:$O$205=""),'Timing Runs'!$M$6:$M$205)))</f>
        <v/>
      </c>
      <c r="N21" s="12" t="str">
        <f t="array" ref="N21">IF(SUMPRODUCT(('Timing Runs'!$B$6:$B$205=$A21)*ISNUMBER('Timing Runs'!$M$6:$M$205)*('Timing Runs'!$N$6:$N$205="Delivered")*('Timing Runs'!$O$6:$O$205=""))=0,"",MAX(IF(('Timing Runs'!$B$6:$B$205=$A21)*ISNUMBER('Timing Runs'!$M$6:$M$205)*('Timing Runs'!$N$6:$N$205="Delivered")*('Timing Runs'!$O$6:$O$205=""),'Timing Runs'!$M$6:$M$205)))</f>
        <v/>
      </c>
    </row>
    <row r="22" spans="1:14" ht="45" customHeight="1">
      <c r="A22" s="1" t="s">
        <v>129</v>
      </c>
      <c r="B22" s="1" t="s">
        <v>131</v>
      </c>
      <c r="C22" s="6">
        <f>COUNTIFS('Timing Runs'!$B$6:$B$205,$A22,'Timing Runs'!$N$6:$N$205,"Delivered")+COUNTIFS('Timing Runs'!$B$6:$B$205,$A22,'Timing Runs'!$N$6:$N$205,"Received; receipt pending")+COUNTIFS('Timing Runs'!$B$6:$B$205,$A22,'Timing Runs'!$N$6:$N$205,"Failed")+COUNTIFS('Timing Runs'!$B$6:$B$205,$A22,'Timing Runs'!$N$6:$N$205,"Expired")</f>
        <v>0</v>
      </c>
      <c r="D22" s="6">
        <f>COUNTIFS('Timing Runs'!$B$6:$B$205,$A22,'Timing Runs'!$N$6:$N$205,"Delivered")+COUNTIFS('Timing Runs'!$B$6:$B$205,$A22,'Timing Runs'!$N$6:$N$205,"Received; receipt pending")</f>
        <v>0</v>
      </c>
      <c r="E22" s="6">
        <f>COUNTIFS('Timing Runs'!$B$6:$B$205,$A22,'Timing Runs'!$N$6:$N$205,"Failed")</f>
        <v>0</v>
      </c>
      <c r="F22" s="6">
        <f>COUNTIFS('Timing Runs'!$B$6:$B$205,$A22,'Timing Runs'!$N$6:$N$205,"Expired")</f>
        <v>0</v>
      </c>
      <c r="G22" s="6">
        <f>COUNTIFS('Timing Runs'!$B$6:$B$205,$A22,'Timing Runs'!$N$6:$N$205,"Blocked")</f>
        <v>0</v>
      </c>
      <c r="H22" s="7">
        <f>IF(C22=0,"",D22/C22)</f>
        <v/>
      </c>
      <c r="I22" s="12" t="str">
        <f t="array" ref="I22">IF(SUMPRODUCT(('Timing Runs'!$B$6:$B$205=$A22)*ISNUMBER('Timing Runs'!$L$6:$L$205)*(('Timing Runs'!$N$6:$N$205="Delivered")+('Timing Runs'!$N$6:$N$205="Received; receipt pending"))*('Timing Runs'!$O$6:$O$205=""))=0,"",MIN(IF(('Timing Runs'!$B$6:$B$205=$A22)*ISNUMBER('Timing Runs'!$L$6:$L$205)*(('Timing Runs'!$N$6:$N$205="Delivered")+('Timing Runs'!$N$6:$N$205="Received; receipt pending"))*('Timing Runs'!$O$6:$O$205=""),'Timing Runs'!$L$6:$L$205)))</f>
        <v/>
      </c>
      <c r="J22" s="12" t="str">
        <f t="array" ref="J22">IF(SUMPRODUCT(('Timing Runs'!$B$6:$B$205=$A22)*ISNUMBER('Timing Runs'!$L$6:$L$205)*(('Timing Runs'!$N$6:$N$205="Delivered")+('Timing Runs'!$N$6:$N$205="Received; receipt pending"))*('Timing Runs'!$O$6:$O$205=""))=0,"",MEDIAN(IF(('Timing Runs'!$B$6:$B$205=$A22)*ISNUMBER('Timing Runs'!$L$6:$L$205)*(('Timing Runs'!$N$6:$N$205="Delivered")+('Timing Runs'!$N$6:$N$205="Received; receipt pending"))*('Timing Runs'!$O$6:$O$205=""),'Timing Runs'!$L$6:$L$205)))</f>
        <v/>
      </c>
      <c r="K22" s="12" t="str">
        <f t="array" ref="K22">IF(SUMPRODUCT(('Timing Runs'!$B$6:$B$205=$A22)*ISNUMBER('Timing Runs'!$L$6:$L$205)*(('Timing Runs'!$N$6:$N$205="Delivered")+('Timing Runs'!$N$6:$N$205="Received; receipt pending"))*('Timing Runs'!$O$6:$O$205=""))=0,"",MAX(IF(('Timing Runs'!$B$6:$B$205=$A22)*ISNUMBER('Timing Runs'!$L$6:$L$205)*(('Timing Runs'!$N$6:$N$205="Delivered")+('Timing Runs'!$N$6:$N$205="Received; receipt pending"))*('Timing Runs'!$O$6:$O$205=""),'Timing Runs'!$L$6:$L$205)))</f>
        <v/>
      </c>
      <c r="L22" s="12" t="str">
        <f t="array" ref="L22">IF(SUMPRODUCT(('Timing Runs'!$B$6:$B$205=$A22)*ISNUMBER('Timing Runs'!$M$6:$M$205)*('Timing Runs'!$N$6:$N$205="Delivered")*('Timing Runs'!$O$6:$O$205=""))=0,"",MIN(IF(('Timing Runs'!$B$6:$B$205=$A22)*ISNUMBER('Timing Runs'!$M$6:$M$205)*('Timing Runs'!$N$6:$N$205="Delivered")*('Timing Runs'!$O$6:$O$205=""),'Timing Runs'!$M$6:$M$205)))</f>
        <v/>
      </c>
      <c r="M22" s="12" t="str">
        <f t="array" ref="M22">IF(SUMPRODUCT(('Timing Runs'!$B$6:$B$205=$A22)*ISNUMBER('Timing Runs'!$M$6:$M$205)*('Timing Runs'!$N$6:$N$205="Delivered")*('Timing Runs'!$O$6:$O$205=""))=0,"",MEDIAN(IF(('Timing Runs'!$B$6:$B$205=$A22)*ISNUMBER('Timing Runs'!$M$6:$M$205)*('Timing Runs'!$N$6:$N$205="Delivered")*('Timing Runs'!$O$6:$O$205=""),'Timing Runs'!$M$6:$M$205)))</f>
        <v/>
      </c>
      <c r="N22" s="12" t="str">
        <f t="array" ref="N22">IF(SUMPRODUCT(('Timing Runs'!$B$6:$B$205=$A22)*ISNUMBER('Timing Runs'!$M$6:$M$205)*('Timing Runs'!$N$6:$N$205="Delivered")*('Timing Runs'!$O$6:$O$205=""))=0,"",MAX(IF(('Timing Runs'!$B$6:$B$205=$A22)*ISNUMBER('Timing Runs'!$M$6:$M$205)*('Timing Runs'!$N$6:$N$205="Delivered")*('Timing Runs'!$O$6:$O$205=""),'Timing Runs'!$M$6:$M$205)))</f>
        <v/>
      </c>
    </row>
    <row r="23" spans="1:14" ht="45" customHeight="1">
      <c r="A23" s="1" t="s">
        <v>136</v>
      </c>
      <c r="B23" s="1" t="s">
        <v>138</v>
      </c>
      <c r="C23" s="6">
        <f>COUNTIFS('Timing Runs'!$B$6:$B$205,$A23,'Timing Runs'!$N$6:$N$205,"Delivered")+COUNTIFS('Timing Runs'!$B$6:$B$205,$A23,'Timing Runs'!$N$6:$N$205,"Received; receipt pending")+COUNTIFS('Timing Runs'!$B$6:$B$205,$A23,'Timing Runs'!$N$6:$N$205,"Failed")+COUNTIFS('Timing Runs'!$B$6:$B$205,$A23,'Timing Runs'!$N$6:$N$205,"Expired")</f>
        <v>0</v>
      </c>
      <c r="D23" s="6">
        <f>COUNTIFS('Timing Runs'!$B$6:$B$205,$A23,'Timing Runs'!$N$6:$N$205,"Delivered")+COUNTIFS('Timing Runs'!$B$6:$B$205,$A23,'Timing Runs'!$N$6:$N$205,"Received; receipt pending")</f>
        <v>0</v>
      </c>
      <c r="E23" s="6">
        <f>COUNTIFS('Timing Runs'!$B$6:$B$205,$A23,'Timing Runs'!$N$6:$N$205,"Failed")</f>
        <v>0</v>
      </c>
      <c r="F23" s="6">
        <f>COUNTIFS('Timing Runs'!$B$6:$B$205,$A23,'Timing Runs'!$N$6:$N$205,"Expired")</f>
        <v>0</v>
      </c>
      <c r="G23" s="6">
        <f>COUNTIFS('Timing Runs'!$B$6:$B$205,$A23,'Timing Runs'!$N$6:$N$205,"Blocked")</f>
        <v>0</v>
      </c>
      <c r="H23" s="7">
        <f>IF(C23=0,"",D23/C23)</f>
        <v/>
      </c>
      <c r="I23" s="12" t="str">
        <f t="array" ref="I23">IF(SUMPRODUCT(('Timing Runs'!$B$6:$B$205=$A23)*ISNUMBER('Timing Runs'!$L$6:$L$205)*(('Timing Runs'!$N$6:$N$205="Delivered")+('Timing Runs'!$N$6:$N$205="Received; receipt pending"))*('Timing Runs'!$O$6:$O$205=""))=0,"",MIN(IF(('Timing Runs'!$B$6:$B$205=$A23)*ISNUMBER('Timing Runs'!$L$6:$L$205)*(('Timing Runs'!$N$6:$N$205="Delivered")+('Timing Runs'!$N$6:$N$205="Received; receipt pending"))*('Timing Runs'!$O$6:$O$205=""),'Timing Runs'!$L$6:$L$205)))</f>
        <v/>
      </c>
      <c r="J23" s="12" t="str">
        <f t="array" ref="J23">IF(SUMPRODUCT(('Timing Runs'!$B$6:$B$205=$A23)*ISNUMBER('Timing Runs'!$L$6:$L$205)*(('Timing Runs'!$N$6:$N$205="Delivered")+('Timing Runs'!$N$6:$N$205="Received; receipt pending"))*('Timing Runs'!$O$6:$O$205=""))=0,"",MEDIAN(IF(('Timing Runs'!$B$6:$B$205=$A23)*ISNUMBER('Timing Runs'!$L$6:$L$205)*(('Timing Runs'!$N$6:$N$205="Delivered")+('Timing Runs'!$N$6:$N$205="Received; receipt pending"))*('Timing Runs'!$O$6:$O$205=""),'Timing Runs'!$L$6:$L$205)))</f>
        <v/>
      </c>
      <c r="K23" s="12" t="str">
        <f t="array" ref="K23">IF(SUMPRODUCT(('Timing Runs'!$B$6:$B$205=$A23)*ISNUMBER('Timing Runs'!$L$6:$L$205)*(('Timing Runs'!$N$6:$N$205="Delivered")+('Timing Runs'!$N$6:$N$205="Received; receipt pending"))*('Timing Runs'!$O$6:$O$205=""))=0,"",MAX(IF(('Timing Runs'!$B$6:$B$205=$A23)*ISNUMBER('Timing Runs'!$L$6:$L$205)*(('Timing Runs'!$N$6:$N$205="Delivered")+('Timing Runs'!$N$6:$N$205="Received; receipt pending"))*('Timing Runs'!$O$6:$O$205=""),'Timing Runs'!$L$6:$L$205)))</f>
        <v/>
      </c>
      <c r="L23" s="12" t="str">
        <f t="array" ref="L23">IF(SUMPRODUCT(('Timing Runs'!$B$6:$B$205=$A23)*ISNUMBER('Timing Runs'!$M$6:$M$205)*('Timing Runs'!$N$6:$N$205="Delivered")*('Timing Runs'!$O$6:$O$205=""))=0,"",MIN(IF(('Timing Runs'!$B$6:$B$205=$A23)*ISNUMBER('Timing Runs'!$M$6:$M$205)*('Timing Runs'!$N$6:$N$205="Delivered")*('Timing Runs'!$O$6:$O$205=""),'Timing Runs'!$M$6:$M$205)))</f>
        <v/>
      </c>
      <c r="M23" s="12" t="str">
        <f t="array" ref="M23">IF(SUMPRODUCT(('Timing Runs'!$B$6:$B$205=$A23)*ISNUMBER('Timing Runs'!$M$6:$M$205)*('Timing Runs'!$N$6:$N$205="Delivered")*('Timing Runs'!$O$6:$O$205=""))=0,"",MEDIAN(IF(('Timing Runs'!$B$6:$B$205=$A23)*ISNUMBER('Timing Runs'!$M$6:$M$205)*('Timing Runs'!$N$6:$N$205="Delivered")*('Timing Runs'!$O$6:$O$205=""),'Timing Runs'!$M$6:$M$205)))</f>
        <v/>
      </c>
      <c r="N23" s="12" t="str">
        <f t="array" ref="N23">IF(SUMPRODUCT(('Timing Runs'!$B$6:$B$205=$A23)*ISNUMBER('Timing Runs'!$M$6:$M$205)*('Timing Runs'!$N$6:$N$205="Delivered")*('Timing Runs'!$O$6:$O$205=""))=0,"",MAX(IF(('Timing Runs'!$B$6:$B$205=$A23)*ISNUMBER('Timing Runs'!$M$6:$M$205)*('Timing Runs'!$N$6:$N$205="Delivered")*('Timing Runs'!$O$6:$O$205=""),'Timing Runs'!$M$6:$M$205)))</f>
        <v/>
      </c>
    </row>
    <row r="24" spans="1:14" ht="45" customHeight="1">
      <c r="A24" s="1" t="s">
        <v>143</v>
      </c>
      <c r="B24" s="1" t="s">
        <v>145</v>
      </c>
      <c r="C24" s="6">
        <f>COUNTIFS('Timing Runs'!$B$6:$B$205,$A24,'Timing Runs'!$N$6:$N$205,"Delivered")+COUNTIFS('Timing Runs'!$B$6:$B$205,$A24,'Timing Runs'!$N$6:$N$205,"Received; receipt pending")+COUNTIFS('Timing Runs'!$B$6:$B$205,$A24,'Timing Runs'!$N$6:$N$205,"Failed")+COUNTIFS('Timing Runs'!$B$6:$B$205,$A24,'Timing Runs'!$N$6:$N$205,"Expired")</f>
        <v>0</v>
      </c>
      <c r="D24" s="6">
        <f>COUNTIFS('Timing Runs'!$B$6:$B$205,$A24,'Timing Runs'!$N$6:$N$205,"Delivered")+COUNTIFS('Timing Runs'!$B$6:$B$205,$A24,'Timing Runs'!$N$6:$N$205,"Received; receipt pending")</f>
        <v>0</v>
      </c>
      <c r="E24" s="6">
        <f>COUNTIFS('Timing Runs'!$B$6:$B$205,$A24,'Timing Runs'!$N$6:$N$205,"Failed")</f>
        <v>0</v>
      </c>
      <c r="F24" s="6">
        <f>COUNTIFS('Timing Runs'!$B$6:$B$205,$A24,'Timing Runs'!$N$6:$N$205,"Expired")</f>
        <v>0</v>
      </c>
      <c r="G24" s="6">
        <f>COUNTIFS('Timing Runs'!$B$6:$B$205,$A24,'Timing Runs'!$N$6:$N$205,"Blocked")</f>
        <v>0</v>
      </c>
      <c r="H24" s="7">
        <f>IF(C24=0,"",D24/C24)</f>
        <v/>
      </c>
      <c r="I24" s="12" t="str">
        <f t="array" ref="I24">IF(SUMPRODUCT(('Timing Runs'!$B$6:$B$205=$A24)*ISNUMBER('Timing Runs'!$L$6:$L$205)*(('Timing Runs'!$N$6:$N$205="Delivered")+('Timing Runs'!$N$6:$N$205="Received; receipt pending"))*('Timing Runs'!$O$6:$O$205=""))=0,"",MIN(IF(('Timing Runs'!$B$6:$B$205=$A24)*ISNUMBER('Timing Runs'!$L$6:$L$205)*(('Timing Runs'!$N$6:$N$205="Delivered")+('Timing Runs'!$N$6:$N$205="Received; receipt pending"))*('Timing Runs'!$O$6:$O$205=""),'Timing Runs'!$L$6:$L$205)))</f>
        <v/>
      </c>
      <c r="J24" s="12" t="str">
        <f t="array" ref="J24">IF(SUMPRODUCT(('Timing Runs'!$B$6:$B$205=$A24)*ISNUMBER('Timing Runs'!$L$6:$L$205)*(('Timing Runs'!$N$6:$N$205="Delivered")+('Timing Runs'!$N$6:$N$205="Received; receipt pending"))*('Timing Runs'!$O$6:$O$205=""))=0,"",MEDIAN(IF(('Timing Runs'!$B$6:$B$205=$A24)*ISNUMBER('Timing Runs'!$L$6:$L$205)*(('Timing Runs'!$N$6:$N$205="Delivered")+('Timing Runs'!$N$6:$N$205="Received; receipt pending"))*('Timing Runs'!$O$6:$O$205=""),'Timing Runs'!$L$6:$L$205)))</f>
        <v/>
      </c>
      <c r="K24" s="12" t="str">
        <f t="array" ref="K24">IF(SUMPRODUCT(('Timing Runs'!$B$6:$B$205=$A24)*ISNUMBER('Timing Runs'!$L$6:$L$205)*(('Timing Runs'!$N$6:$N$205="Delivered")+('Timing Runs'!$N$6:$N$205="Received; receipt pending"))*('Timing Runs'!$O$6:$O$205=""))=0,"",MAX(IF(('Timing Runs'!$B$6:$B$205=$A24)*ISNUMBER('Timing Runs'!$L$6:$L$205)*(('Timing Runs'!$N$6:$N$205="Delivered")+('Timing Runs'!$N$6:$N$205="Received; receipt pending"))*('Timing Runs'!$O$6:$O$205=""),'Timing Runs'!$L$6:$L$205)))</f>
        <v/>
      </c>
      <c r="L24" s="12" t="str">
        <f t="array" ref="L24">IF(SUMPRODUCT(('Timing Runs'!$B$6:$B$205=$A24)*ISNUMBER('Timing Runs'!$M$6:$M$205)*('Timing Runs'!$N$6:$N$205="Delivered")*('Timing Runs'!$O$6:$O$205=""))=0,"",MIN(IF(('Timing Runs'!$B$6:$B$205=$A24)*ISNUMBER('Timing Runs'!$M$6:$M$205)*('Timing Runs'!$N$6:$N$205="Delivered")*('Timing Runs'!$O$6:$O$205=""),'Timing Runs'!$M$6:$M$205)))</f>
        <v/>
      </c>
      <c r="M24" s="12" t="str">
        <f t="array" ref="M24">IF(SUMPRODUCT(('Timing Runs'!$B$6:$B$205=$A24)*ISNUMBER('Timing Runs'!$M$6:$M$205)*('Timing Runs'!$N$6:$N$205="Delivered")*('Timing Runs'!$O$6:$O$205=""))=0,"",MEDIAN(IF(('Timing Runs'!$B$6:$B$205=$A24)*ISNUMBER('Timing Runs'!$M$6:$M$205)*('Timing Runs'!$N$6:$N$205="Delivered")*('Timing Runs'!$O$6:$O$205=""),'Timing Runs'!$M$6:$M$205)))</f>
        <v/>
      </c>
      <c r="N24" s="12" t="str">
        <f t="array" ref="N24">IF(SUMPRODUCT(('Timing Runs'!$B$6:$B$205=$A24)*ISNUMBER('Timing Runs'!$M$6:$M$205)*('Timing Runs'!$N$6:$N$205="Delivered")*('Timing Runs'!$O$6:$O$205=""))=0,"",MAX(IF(('Timing Runs'!$B$6:$B$205=$A24)*ISNUMBER('Timing Runs'!$M$6:$M$205)*('Timing Runs'!$N$6:$N$205="Delivered")*('Timing Runs'!$O$6:$O$205=""),'Timing Runs'!$M$6:$M$205)))</f>
        <v/>
      </c>
    </row>
    <row r="25" spans="1:14" ht="45" customHeight="1">
      <c r="A25" s="1" t="s">
        <v>150</v>
      </c>
      <c r="B25" s="1" t="s">
        <v>152</v>
      </c>
      <c r="C25" s="6">
        <f>COUNTIFS('Timing Runs'!$B$6:$B$205,$A25,'Timing Runs'!$N$6:$N$205,"Delivered")+COUNTIFS('Timing Runs'!$B$6:$B$205,$A25,'Timing Runs'!$N$6:$N$205,"Received; receipt pending")+COUNTIFS('Timing Runs'!$B$6:$B$205,$A25,'Timing Runs'!$N$6:$N$205,"Failed")+COUNTIFS('Timing Runs'!$B$6:$B$205,$A25,'Timing Runs'!$N$6:$N$205,"Expired")</f>
        <v>0</v>
      </c>
      <c r="D25" s="6">
        <f>COUNTIFS('Timing Runs'!$B$6:$B$205,$A25,'Timing Runs'!$N$6:$N$205,"Delivered")+COUNTIFS('Timing Runs'!$B$6:$B$205,$A25,'Timing Runs'!$N$6:$N$205,"Received; receipt pending")</f>
        <v>0</v>
      </c>
      <c r="E25" s="6">
        <f>COUNTIFS('Timing Runs'!$B$6:$B$205,$A25,'Timing Runs'!$N$6:$N$205,"Failed")</f>
        <v>0</v>
      </c>
      <c r="F25" s="6">
        <f>COUNTIFS('Timing Runs'!$B$6:$B$205,$A25,'Timing Runs'!$N$6:$N$205,"Expired")</f>
        <v>0</v>
      </c>
      <c r="G25" s="6">
        <f>COUNTIFS('Timing Runs'!$B$6:$B$205,$A25,'Timing Runs'!$N$6:$N$205,"Blocked")</f>
        <v>0</v>
      </c>
      <c r="H25" s="7">
        <f>IF(C25=0,"",D25/C25)</f>
        <v/>
      </c>
      <c r="I25" s="12" t="str">
        <f t="array" ref="I25">IF(SUMPRODUCT(('Timing Runs'!$B$6:$B$205=$A25)*ISNUMBER('Timing Runs'!$L$6:$L$205)*(('Timing Runs'!$N$6:$N$205="Delivered")+('Timing Runs'!$N$6:$N$205="Received; receipt pending"))*('Timing Runs'!$O$6:$O$205=""))=0,"",MIN(IF(('Timing Runs'!$B$6:$B$205=$A25)*ISNUMBER('Timing Runs'!$L$6:$L$205)*(('Timing Runs'!$N$6:$N$205="Delivered")+('Timing Runs'!$N$6:$N$205="Received; receipt pending"))*('Timing Runs'!$O$6:$O$205=""),'Timing Runs'!$L$6:$L$205)))</f>
        <v/>
      </c>
      <c r="J25" s="12" t="str">
        <f t="array" ref="J25">IF(SUMPRODUCT(('Timing Runs'!$B$6:$B$205=$A25)*ISNUMBER('Timing Runs'!$L$6:$L$205)*(('Timing Runs'!$N$6:$N$205="Delivered")+('Timing Runs'!$N$6:$N$205="Received; receipt pending"))*('Timing Runs'!$O$6:$O$205=""))=0,"",MEDIAN(IF(('Timing Runs'!$B$6:$B$205=$A25)*ISNUMBER('Timing Runs'!$L$6:$L$205)*(('Timing Runs'!$N$6:$N$205="Delivered")+('Timing Runs'!$N$6:$N$205="Received; receipt pending"))*('Timing Runs'!$O$6:$O$205=""),'Timing Runs'!$L$6:$L$205)))</f>
        <v/>
      </c>
      <c r="K25" s="12" t="str">
        <f t="array" ref="K25">IF(SUMPRODUCT(('Timing Runs'!$B$6:$B$205=$A25)*ISNUMBER('Timing Runs'!$L$6:$L$205)*(('Timing Runs'!$N$6:$N$205="Delivered")+('Timing Runs'!$N$6:$N$205="Received; receipt pending"))*('Timing Runs'!$O$6:$O$205=""))=0,"",MAX(IF(('Timing Runs'!$B$6:$B$205=$A25)*ISNUMBER('Timing Runs'!$L$6:$L$205)*(('Timing Runs'!$N$6:$N$205="Delivered")+('Timing Runs'!$N$6:$N$205="Received; receipt pending"))*('Timing Runs'!$O$6:$O$205=""),'Timing Runs'!$L$6:$L$205)))</f>
        <v/>
      </c>
      <c r="L25" s="12" t="str">
        <f t="array" ref="L25">IF(SUMPRODUCT(('Timing Runs'!$B$6:$B$205=$A25)*ISNUMBER('Timing Runs'!$M$6:$M$205)*('Timing Runs'!$N$6:$N$205="Delivered")*('Timing Runs'!$O$6:$O$205=""))=0,"",MIN(IF(('Timing Runs'!$B$6:$B$205=$A25)*ISNUMBER('Timing Runs'!$M$6:$M$205)*('Timing Runs'!$N$6:$N$205="Delivered")*('Timing Runs'!$O$6:$O$205=""),'Timing Runs'!$M$6:$M$205)))</f>
        <v/>
      </c>
      <c r="M25" s="12" t="str">
        <f t="array" ref="M25">IF(SUMPRODUCT(('Timing Runs'!$B$6:$B$205=$A25)*ISNUMBER('Timing Runs'!$M$6:$M$205)*('Timing Runs'!$N$6:$N$205="Delivered")*('Timing Runs'!$O$6:$O$205=""))=0,"",MEDIAN(IF(('Timing Runs'!$B$6:$B$205=$A25)*ISNUMBER('Timing Runs'!$M$6:$M$205)*('Timing Runs'!$N$6:$N$205="Delivered")*('Timing Runs'!$O$6:$O$205=""),'Timing Runs'!$M$6:$M$205)))</f>
        <v/>
      </c>
      <c r="N25" s="12" t="str">
        <f t="array" ref="N25">IF(SUMPRODUCT(('Timing Runs'!$B$6:$B$205=$A25)*ISNUMBER('Timing Runs'!$M$6:$M$205)*('Timing Runs'!$N$6:$N$205="Delivered")*('Timing Runs'!$O$6:$O$205=""))=0,"",MAX(IF(('Timing Runs'!$B$6:$B$205=$A25)*ISNUMBER('Timing Runs'!$M$6:$M$205)*('Timing Runs'!$N$6:$N$205="Delivered")*('Timing Runs'!$O$6:$O$205=""),'Timing Runs'!$M$6:$M$205)))</f>
        <v/>
      </c>
    </row>
  </sheetData>
  <mergeCells count="2">
    <mergeCell ref="A1:N1"/>
    <mergeCell ref="A2:N3"/>
  </mergeCells>
  <pageMargins left="0.25" right="0.25" top="0.4" bottom="0.4" header="0.3" footer="0.3"/>
  <pageSetup paperSize="8" fitToHeight="0" orientation="landscape"/>
  <headerFooter>
    <oddHeader>&amp;LOfflineChat Mesh v2&amp;RTiming Summary</oddHeader>
    <oddFooter>&amp;LExperimental — device checks unverified&amp;CPage &amp;P of &amp;N&amp;RRecord actual evidence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Start Here</vt:lpstr>
      <vt:lpstr>Device Register</vt:lpstr>
      <vt:lpstr>Test Cases</vt:lpstr>
      <vt:lpstr>Developer Tests</vt:lpstr>
      <vt:lpstr>Timing Runs</vt:lpstr>
      <vt:lpstr>Timing Summary</vt:lpstr>
      <vt:lpstr>PhysicalCaseIDs</vt:lpstr>
      <vt:lpstr>'Developer Tests'!Print_Area</vt:lpstr>
      <vt:lpstr>'Start Here'!Print_Area</vt:lpstr>
      <vt:lpstr>'Test Cases'!Print_Area</vt:lpstr>
      <vt:lpstr>'Developer Tests'!Print_Titles</vt:lpstr>
      <vt:lpstr>'Device Register'!Print_Titles</vt:lpstr>
      <vt:lpstr>'Start Here'!Print_Titles</vt:lpstr>
      <vt:lpstr>'Test Cases'!Print_Titles</vt:lpstr>
      <vt:lpstr>'Timing Runs'!Print_Titles</vt:lpstr>
      <vt:lpstr>'Timing Summary'!Print_Titles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OfflineChat Mesh v2 test cases</dc:title>
  <dc:subject>Physical-device and developer acceptance testing</dc:subject>
  <dc:creator>OfflineChat</dc:creator>
  <dc:description>Expected results are acceptance criteria. No physical/device pass is implied.</dc:description>
  <cp:lastModifiedBy>OfflineChat</cp:lastModifiedBy>
  <dcterms:created xsi:type="dcterms:W3CDTF">2026-10-22T11:28:30Z</dcterms:created>
  <dcterms:modified xsi:type="dcterms:W3CDTF">2026-10-22T11:28:30Z</dcterms:modified>
</cp:coreProperties>
</file>